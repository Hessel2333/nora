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 tabRatio="500"/>
  </bookViews>
  <sheets>
    <sheet name="功能清单（新架构）" sheetId="1" r:id="rId1"/>
    <sheet name="冠麦原始功能去向" sheetId="2" r:id="rId2"/>
    <sheet name="汇总" sheetId="3" r:id="rId3"/>
  </sheets>
  <definedNames>
    <definedName name="_xlnm._FilterDatabase" localSheetId="0" hidden="1">'功能清单（新架构）'!$A$1:$I$143</definedName>
    <definedName name="_xlnm._FilterDatabase" localSheetId="1" hidden="1">冠麦原始功能去向!$A$1:$G$122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<sst xmlns="http://schemas.openxmlformats.org/spreadsheetml/2006/main" count="1608" uniqueCount="671">
  <si>
    <t>序号</t>
  </si>
  <si>
    <t>一级模块</t>
  </si>
  <si>
    <t>二级功能</t>
  </si>
  <si>
    <t>功能说明</t>
  </si>
  <si>
    <t>冠麦对应功能</t>
  </si>
  <si>
    <t>处置</t>
  </si>
  <si>
    <t>优先级</t>
  </si>
  <si>
    <t>所属版本</t>
  </si>
  <si>
    <r>
      <rPr>
        <b/>
        <sz val="10.5"/>
        <color rgb="FFFFFFFF"/>
        <rFont val="Noto Sans CJK SC"/>
        <charset val="134"/>
      </rPr>
      <t>备注</t>
    </r>
    <r>
      <rPr>
        <b/>
        <sz val="10.5"/>
        <color rgb="FFFFFFFF"/>
        <rFont val="Microsoft YaHei"/>
        <charset val="1"/>
      </rPr>
      <t>/</t>
    </r>
    <r>
      <rPr>
        <b/>
        <sz val="10.5"/>
        <color rgb="FFFFFFFF"/>
        <rFont val="Noto Sans CJK SC"/>
        <charset val="134"/>
      </rPr>
      <t>关联</t>
    </r>
  </si>
  <si>
    <r>
      <rPr>
        <b/>
        <sz val="10"/>
        <rFont val="Microsoft YaHei"/>
        <charset val="1"/>
      </rPr>
      <t xml:space="preserve">1 </t>
    </r>
    <r>
      <rPr>
        <b/>
        <sz val="10"/>
        <rFont val="Noto Sans CJK SC"/>
        <charset val="134"/>
      </rPr>
      <t>工作台</t>
    </r>
  </si>
  <si>
    <t>待办聚合带</t>
  </si>
  <si>
    <t>跨模块待办汇总，点击直达处理页</t>
  </si>
  <si>
    <t>—</t>
  </si>
  <si>
    <t>新增</t>
  </si>
  <si>
    <t>P0</t>
  </si>
  <si>
    <r>
      <rPr>
        <sz val="10"/>
        <rFont val="Microsoft YaHei"/>
        <charset val="1"/>
      </rPr>
      <t xml:space="preserve">1 </t>
    </r>
    <r>
      <rPr>
        <sz val="10"/>
        <rFont val="Noto Sans CJK SC"/>
        <charset val="134"/>
      </rPr>
      <t>工作台</t>
    </r>
  </si>
  <si>
    <t>业务地图导航</t>
  </si>
  <si>
    <t>四层架构图即菜单：流动箭头、当前环节提示、待办角标</t>
  </si>
  <si>
    <r>
      <rPr>
        <sz val="9.5"/>
        <color rgb="FF6E7D75"/>
        <rFont val="Noto Sans CJK SC"/>
        <charset val="134"/>
      </rPr>
      <t>首页形态随</t>
    </r>
    <r>
      <rPr>
        <sz val="9.5"/>
        <color rgb="FF6E7D75"/>
        <rFont val="Microsoft YaHei"/>
        <charset val="1"/>
      </rPr>
      <t>Q8</t>
    </r>
  </si>
  <si>
    <t>流程演示动画</t>
  </si>
  <si>
    <t>分步点亮四层与主线，培训与展厅通用</t>
  </si>
  <si>
    <t>功能搜索直达</t>
  </si>
  <si>
    <t>按功能名搜索直达并高亮</t>
  </si>
  <si>
    <t>新手引导</t>
  </si>
  <si>
    <t>聚光灯分步引导，可重播</t>
  </si>
  <si>
    <t>消息通知</t>
  </si>
  <si>
    <t>审批与异常提醒</t>
  </si>
  <si>
    <t>P1</t>
  </si>
  <si>
    <r>
      <rPr>
        <b/>
        <sz val="10"/>
        <rFont val="Microsoft YaHei"/>
        <charset val="1"/>
      </rPr>
      <t xml:space="preserve">2 </t>
    </r>
    <r>
      <rPr>
        <b/>
        <sz val="10"/>
        <rFont val="Noto Sans CJK SC"/>
        <charset val="134"/>
      </rPr>
      <t>基础档案</t>
    </r>
  </si>
  <si>
    <r>
      <rPr>
        <b/>
        <sz val="10"/>
        <color rgb="FF1C2B24"/>
        <rFont val="Noto Sans CJK SC"/>
        <charset val="134"/>
      </rPr>
      <t>企业信息</t>
    </r>
    <r>
      <rPr>
        <b/>
        <sz val="10"/>
        <color rgb="FF1C2B24"/>
        <rFont val="Microsoft YaHei"/>
        <charset val="1"/>
      </rPr>
      <t>/</t>
    </r>
    <r>
      <rPr>
        <b/>
        <sz val="10"/>
        <color rgb="FF1C2B24"/>
        <rFont val="Noto Sans CJK SC"/>
        <charset val="134"/>
      </rPr>
      <t>资质</t>
    </r>
    <r>
      <rPr>
        <b/>
        <sz val="10"/>
        <color rgb="FF1C2B24"/>
        <rFont val="Microsoft YaHei"/>
        <charset val="1"/>
      </rPr>
      <t>/</t>
    </r>
    <r>
      <rPr>
        <b/>
        <sz val="10"/>
        <color rgb="FF1C2B24"/>
        <rFont val="Noto Sans CJK SC"/>
        <charset val="134"/>
      </rPr>
      <t>配置</t>
    </r>
  </si>
  <si>
    <t>企业基本资料与资质证照</t>
  </si>
  <si>
    <t>截图未提供（待补对照）</t>
  </si>
  <si>
    <t>冠麦系统设置板块未截图</t>
  </si>
  <si>
    <r>
      <rPr>
        <sz val="10"/>
        <rFont val="Microsoft YaHei"/>
        <charset val="1"/>
      </rPr>
      <t xml:space="preserve">2 </t>
    </r>
    <r>
      <rPr>
        <sz val="10"/>
        <rFont val="Noto Sans CJK SC"/>
        <charset val="134"/>
      </rPr>
      <t>基础档案</t>
    </r>
  </si>
  <si>
    <t>组织管理</t>
  </si>
  <si>
    <r>
      <rPr>
        <sz val="9.5"/>
        <color rgb="FF1C2B24"/>
        <rFont val="Noto Sans CJK SC"/>
        <charset val="134"/>
      </rPr>
      <t>企业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门店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工厂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车间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生产线；产线自建供生产计划引用</t>
    </r>
  </si>
  <si>
    <t>工厂模型（生产设置）</t>
  </si>
  <si>
    <t>移位归并</t>
  </si>
  <si>
    <t>员工档案</t>
  </si>
  <si>
    <t>员工基础信息；采购员并入（角色标识）</t>
  </si>
  <si>
    <t>采购员（采购管理）</t>
  </si>
  <si>
    <r>
      <rPr>
        <b/>
        <sz val="10"/>
        <color rgb="FF1C2B24"/>
        <rFont val="Noto Sans CJK SC"/>
        <charset val="134"/>
      </rPr>
      <t>账号</t>
    </r>
    <r>
      <rPr>
        <b/>
        <sz val="10"/>
        <color rgb="FF1C2B24"/>
        <rFont val="Microsoft YaHei"/>
        <charset val="1"/>
      </rPr>
      <t>/</t>
    </r>
    <r>
      <rPr>
        <b/>
        <sz val="10"/>
        <color rgb="FF1C2B24"/>
        <rFont val="Noto Sans CJK SC"/>
        <charset val="134"/>
      </rPr>
      <t>角色</t>
    </r>
    <r>
      <rPr>
        <b/>
        <sz val="10"/>
        <color rgb="FF1C2B24"/>
        <rFont val="Microsoft YaHei"/>
        <charset val="1"/>
      </rPr>
      <t>/</t>
    </r>
    <r>
      <rPr>
        <b/>
        <sz val="10"/>
        <color rgb="FF1C2B24"/>
        <rFont val="Noto Sans CJK SC"/>
        <charset val="134"/>
      </rPr>
      <t>审批权限</t>
    </r>
  </si>
  <si>
    <t>账号开通、角色授权、审批权限</t>
  </si>
  <si>
    <r>
      <rPr>
        <sz val="9.5"/>
        <color rgb="FF6E7D75"/>
        <rFont val="Noto Sans CJK SC"/>
        <charset val="134"/>
      </rPr>
      <t>权限层级随</t>
    </r>
    <r>
      <rPr>
        <sz val="9.5"/>
        <color rgb="FF6E7D75"/>
        <rFont val="Microsoft YaHei"/>
        <charset val="1"/>
      </rPr>
      <t>Q6</t>
    </r>
  </si>
  <si>
    <t>数据权限</t>
  </si>
  <si>
    <r>
      <rPr>
        <sz val="9.5"/>
        <color rgb="FF1C2B24"/>
        <rFont val="Noto Sans CJK SC"/>
        <charset val="134"/>
      </rPr>
      <t>按组织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角色控制数据可见范围</t>
    </r>
  </si>
  <si>
    <t>截图未提供</t>
  </si>
  <si>
    <t>供应商档案</t>
  </si>
  <si>
    <t>供应商主数据与结算方式；采购只选用不修改</t>
  </si>
  <si>
    <r>
      <rPr>
        <sz val="9.5"/>
        <color rgb="FF6E7D75"/>
        <rFont val="Noto Sans CJK SC"/>
        <charset val="134"/>
      </rPr>
      <t>供应商信息（采购</t>
    </r>
    <r>
      <rPr>
        <sz val="9.5"/>
        <color rgb="FF6E7D75"/>
        <rFont val="Microsoft YaHei"/>
        <charset val="1"/>
      </rPr>
      <t>-</t>
    </r>
    <r>
      <rPr>
        <sz val="9.5"/>
        <color rgb="FF6E7D75"/>
        <rFont val="Noto Sans CJK SC"/>
        <charset val="134"/>
      </rPr>
      <t>供应商管理）</t>
    </r>
  </si>
  <si>
    <t>单据编号规则</t>
  </si>
  <si>
    <t>各类单据编号规则配置</t>
  </si>
  <si>
    <r>
      <rPr>
        <sz val="9.5"/>
        <color rgb="FF6E7D75"/>
        <rFont val="Noto Sans CJK SC"/>
        <charset val="134"/>
      </rPr>
      <t>规则随</t>
    </r>
    <r>
      <rPr>
        <sz val="9.5"/>
        <color rgb="FF6E7D75"/>
        <rFont val="Microsoft YaHei"/>
        <charset val="1"/>
      </rPr>
      <t>Q5</t>
    </r>
  </si>
  <si>
    <t>打印模板</t>
  </si>
  <si>
    <t>单据打印模板维护</t>
  </si>
  <si>
    <t>打印箱签为其一类（生产工具）</t>
  </si>
  <si>
    <t>沿用</t>
  </si>
  <si>
    <t>基础数据字典</t>
  </si>
  <si>
    <r>
      <rPr>
        <sz val="9.5"/>
        <color rgb="FF1C2B24"/>
        <rFont val="Noto Sans CJK SC"/>
        <charset val="134"/>
      </rPr>
      <t>单位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类别等字典</t>
    </r>
  </si>
  <si>
    <t>期初初始化</t>
  </si>
  <si>
    <r>
      <rPr>
        <sz val="9.5"/>
        <color rgb="FF1C2B24"/>
        <rFont val="Noto Sans CJK SC"/>
        <charset val="134"/>
      </rPr>
      <t>商品池</t>
    </r>
    <r>
      <rPr>
        <sz val="9.5"/>
        <color rgb="FF1C2B24"/>
        <rFont val="Microsoft YaHei"/>
        <charset val="1"/>
      </rPr>
      <t>/BOM/</t>
    </r>
    <r>
      <rPr>
        <sz val="9.5"/>
        <color rgb="FF1C2B24"/>
        <rFont val="Noto Sans CJK SC"/>
        <charset val="134"/>
      </rPr>
      <t>客户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供应商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期初库存导入与校验</t>
    </r>
  </si>
  <si>
    <t>审批流配置</t>
  </si>
  <si>
    <r>
      <rPr>
        <sz val="9.5"/>
        <color rgb="FF1C2B24"/>
        <rFont val="Noto Sans CJK SC"/>
        <charset val="134"/>
      </rPr>
      <t>订单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对账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结款审批链</t>
    </r>
  </si>
  <si>
    <r>
      <rPr>
        <b/>
        <sz val="10"/>
        <rFont val="Microsoft YaHei"/>
        <charset val="1"/>
      </rPr>
      <t xml:space="preserve">3 </t>
    </r>
    <r>
      <rPr>
        <b/>
        <sz val="10"/>
        <rFont val="Noto Sans CJK SC"/>
        <charset val="134"/>
      </rPr>
      <t>商品</t>
    </r>
    <r>
      <rPr>
        <b/>
        <sz val="10"/>
        <rFont val="Microsoft YaHei"/>
        <charset val="1"/>
      </rPr>
      <t>/BOM</t>
    </r>
  </si>
  <si>
    <t>商品分类</t>
  </si>
  <si>
    <t>分类树维护</t>
  </si>
  <si>
    <t>商品分类（商品设置）</t>
  </si>
  <si>
    <r>
      <rPr>
        <sz val="10"/>
        <rFont val="Microsoft YaHei"/>
        <charset val="1"/>
      </rPr>
      <t xml:space="preserve">3 </t>
    </r>
    <r>
      <rPr>
        <sz val="10"/>
        <rFont val="Noto Sans CJK SC"/>
        <charset val="134"/>
      </rPr>
      <t>商品</t>
    </r>
    <r>
      <rPr>
        <sz val="10"/>
        <rFont val="Microsoft YaHei"/>
        <charset val="1"/>
      </rPr>
      <t>/BOM</t>
    </r>
  </si>
  <si>
    <t>商品单位</t>
  </si>
  <si>
    <t>计量单位维护</t>
  </si>
  <si>
    <t>商品列表内字段</t>
  </si>
  <si>
    <t>商品税率</t>
  </si>
  <si>
    <t>税率维护（会议明确保留）</t>
  </si>
  <si>
    <t>商品税率（商品设置）</t>
  </si>
  <si>
    <t>商品标签</t>
  </si>
  <si>
    <t>商品维度标签</t>
  </si>
  <si>
    <r>
      <rPr>
        <sz val="9.5"/>
        <color rgb="FF6E7D75"/>
        <rFont val="Noto Sans CJK SC"/>
        <charset val="134"/>
      </rPr>
      <t>随</t>
    </r>
    <r>
      <rPr>
        <sz val="9.5"/>
        <color rgb="FF6E7D75"/>
        <rFont val="Microsoft YaHei"/>
        <charset val="1"/>
      </rPr>
      <t>Q10</t>
    </r>
  </si>
  <si>
    <t>商品档案（统一商品池）</t>
  </si>
  <si>
    <r>
      <rPr>
        <sz val="9.5"/>
        <color rgb="FF1C2B24"/>
        <rFont val="Noto Sans CJK SC"/>
        <charset val="134"/>
      </rPr>
      <t>原料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半成品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加工品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成品同池，分类筛选</t>
    </r>
  </si>
  <si>
    <t>商品列表（商品管理）</t>
  </si>
  <si>
    <t>商品编码</t>
  </si>
  <si>
    <t>全局唯一（硬约束）</t>
  </si>
  <si>
    <t>商品列表内</t>
  </si>
  <si>
    <t>组合商品</t>
  </si>
  <si>
    <r>
      <rPr>
        <sz val="9.5"/>
        <color rgb="FF1C2B24"/>
        <rFont val="Noto Sans CJK SC"/>
        <charset val="134"/>
      </rPr>
      <t>套餐类组合，对应</t>
    </r>
    <r>
      <rPr>
        <sz val="9.5"/>
        <color rgb="FF1C2B24"/>
        <rFont val="Microsoft YaHei"/>
        <charset val="1"/>
      </rPr>
      <t>BZ</t>
    </r>
    <r>
      <rPr>
        <sz val="9.5"/>
        <color rgb="FF1C2B24"/>
        <rFont val="Noto Sans CJK SC"/>
        <charset val="134"/>
      </rPr>
      <t>组合单</t>
    </r>
  </si>
  <si>
    <t>组合商品（商品管理）</t>
  </si>
  <si>
    <r>
      <rPr>
        <b/>
        <sz val="10"/>
        <color rgb="FF1C2B24"/>
        <rFont val="Noto Sans CJK SC"/>
        <charset val="134"/>
      </rPr>
      <t>生产</t>
    </r>
    <r>
      <rPr>
        <b/>
        <sz val="10"/>
        <color rgb="FF1C2B24"/>
        <rFont val="Microsoft YaHei"/>
        <charset val="1"/>
      </rPr>
      <t>BOM</t>
    </r>
    <r>
      <rPr>
        <b/>
        <sz val="10"/>
        <color rgb="FF1C2B24"/>
        <rFont val="Noto Sans CJK SC"/>
        <charset val="134"/>
      </rPr>
      <t>维护</t>
    </r>
  </si>
  <si>
    <r>
      <rPr>
        <sz val="9.5"/>
        <color rgb="FF1C2B24"/>
        <rFont val="Noto Sans CJK SC"/>
        <charset val="134"/>
      </rPr>
      <t>三级</t>
    </r>
    <r>
      <rPr>
        <sz val="9.5"/>
        <color rgb="FF1C2B24"/>
        <rFont val="Microsoft YaHei"/>
        <charset val="1"/>
      </rPr>
      <t>BOM</t>
    </r>
    <r>
      <rPr>
        <sz val="9.5"/>
        <color rgb="FF1C2B24"/>
        <rFont val="Noto Sans CJK SC"/>
        <charset val="134"/>
      </rPr>
      <t>＋出成率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损耗率，物料需求按其展开</t>
    </r>
  </si>
  <si>
    <r>
      <rPr>
        <sz val="9.5"/>
        <color rgb="FF6E7D75"/>
        <rFont val="Noto Sans CJK SC"/>
        <charset val="134"/>
      </rPr>
      <t>生产</t>
    </r>
    <r>
      <rPr>
        <sz val="9.5"/>
        <color rgb="FF6E7D75"/>
        <rFont val="Microsoft YaHei"/>
        <charset val="1"/>
      </rPr>
      <t>BOM</t>
    </r>
    <r>
      <rPr>
        <sz val="9.5"/>
        <color rgb="FF6E7D75"/>
        <rFont val="Noto Sans CJK SC"/>
        <charset val="134"/>
      </rPr>
      <t>管理（生产</t>
    </r>
    <r>
      <rPr>
        <sz val="9.5"/>
        <color rgb="FF6E7D75"/>
        <rFont val="Microsoft YaHei"/>
        <charset val="1"/>
      </rPr>
      <t>-BOM</t>
    </r>
    <r>
      <rPr>
        <sz val="9.5"/>
        <color rgb="FF6E7D75"/>
        <rFont val="Noto Sans CJK SC"/>
        <charset val="134"/>
      </rPr>
      <t>管理）</t>
    </r>
  </si>
  <si>
    <r>
      <rPr>
        <sz val="9.5"/>
        <color rgb="FF6E7D75"/>
        <rFont val="Microsoft YaHei"/>
        <charset val="1"/>
      </rPr>
      <t>BOM</t>
    </r>
    <r>
      <rPr>
        <sz val="9.5"/>
        <color rgb="FF6E7D75"/>
        <rFont val="Noto Sans CJK SC"/>
        <charset val="134"/>
      </rPr>
      <t>归商品域</t>
    </r>
  </si>
  <si>
    <r>
      <rPr>
        <b/>
        <sz val="10"/>
        <color rgb="FF1C2B24"/>
        <rFont val="Noto Sans CJK SC"/>
        <charset val="134"/>
      </rPr>
      <t>研发</t>
    </r>
    <r>
      <rPr>
        <b/>
        <sz val="10"/>
        <color rgb="FF1C2B24"/>
        <rFont val="Microsoft YaHei"/>
        <charset val="1"/>
      </rPr>
      <t>BOM</t>
    </r>
  </si>
  <si>
    <t>研发配方独立管理</t>
  </si>
  <si>
    <r>
      <rPr>
        <sz val="9.5"/>
        <color rgb="FF6E7D75"/>
        <rFont val="Noto Sans CJK SC"/>
        <charset val="134"/>
      </rPr>
      <t>研发</t>
    </r>
    <r>
      <rPr>
        <sz val="9.5"/>
        <color rgb="FF6E7D75"/>
        <rFont val="Microsoft YaHei"/>
        <charset val="1"/>
      </rPr>
      <t>BOM</t>
    </r>
    <r>
      <rPr>
        <sz val="9.5"/>
        <color rgb="FF6E7D75"/>
        <rFont val="Noto Sans CJK SC"/>
        <charset val="134"/>
      </rPr>
      <t>管理（生产</t>
    </r>
    <r>
      <rPr>
        <sz val="9.5"/>
        <color rgb="FF6E7D75"/>
        <rFont val="Microsoft YaHei"/>
        <charset val="1"/>
      </rPr>
      <t>-BOM</t>
    </r>
    <r>
      <rPr>
        <sz val="9.5"/>
        <color rgb="FF6E7D75"/>
        <rFont val="Noto Sans CJK SC"/>
        <charset val="134"/>
      </rPr>
      <t>管理）</t>
    </r>
  </si>
  <si>
    <t>待确认</t>
  </si>
  <si>
    <t>待拍板</t>
  </si>
  <si>
    <r>
      <rPr>
        <sz val="9.5"/>
        <color rgb="FF6E7D75"/>
        <rFont val="Noto Sans CJK SC"/>
        <charset val="134"/>
      </rPr>
      <t>会议未提；</t>
    </r>
    <r>
      <rPr>
        <sz val="9.5"/>
        <color rgb="FF6E7D75"/>
        <rFont val="Microsoft YaHei"/>
        <charset val="1"/>
      </rPr>
      <t>MVP</t>
    </r>
    <r>
      <rPr>
        <sz val="9.5"/>
        <color rgb="FF6E7D75"/>
        <rFont val="Noto Sans CJK SC"/>
        <charset val="134"/>
      </rPr>
      <t>建议先生产</t>
    </r>
    <r>
      <rPr>
        <sz val="9.5"/>
        <color rgb="FF6E7D75"/>
        <rFont val="Microsoft YaHei"/>
        <charset val="1"/>
      </rPr>
      <t>BOM</t>
    </r>
  </si>
  <si>
    <t>商品内标管理</t>
  </si>
  <si>
    <r>
      <rPr>
        <sz val="9.5"/>
        <color rgb="FF1C2B24"/>
        <rFont val="Noto Sans CJK SC"/>
        <charset val="134"/>
      </rPr>
      <t>商品内部标识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条码</t>
    </r>
  </si>
  <si>
    <t>商品内标管理（生产设置）</t>
  </si>
  <si>
    <t>会议未提</t>
  </si>
  <si>
    <t>临时商品审批</t>
  </si>
  <si>
    <t>临时商品审批（商品管理）</t>
  </si>
  <si>
    <t>裁剪</t>
  </si>
  <si>
    <r>
      <rPr>
        <sz val="9.5"/>
        <color rgb="FF808080"/>
        <rFont val="Microsoft YaHei"/>
        <charset val="1"/>
      </rPr>
      <t>07-06</t>
    </r>
    <r>
      <rPr>
        <sz val="9.5"/>
        <color rgb="FF808080"/>
        <rFont val="Noto Sans CJK SC"/>
        <charset val="134"/>
      </rPr>
      <t>会议</t>
    </r>
  </si>
  <si>
    <t>替代商品（物料替换）</t>
  </si>
  <si>
    <t>替代商品（生产设置）</t>
  </si>
  <si>
    <t>价格管理体系</t>
  </si>
  <si>
    <r>
      <rPr>
        <sz val="9.5"/>
        <color rgb="FF808080"/>
        <rFont val="Noto Sans CJK SC"/>
        <charset val="134"/>
      </rPr>
      <t>客户报价单</t>
    </r>
    <r>
      <rPr>
        <sz val="9.5"/>
        <color rgb="FF808080"/>
        <rFont val="Microsoft YaHei"/>
        <charset val="1"/>
      </rPr>
      <t>/</t>
    </r>
    <r>
      <rPr>
        <sz val="9.5"/>
        <color rgb="FF808080"/>
        <rFont val="Noto Sans CJK SC"/>
        <charset val="134"/>
      </rPr>
      <t>协议价</t>
    </r>
    <r>
      <rPr>
        <sz val="9.5"/>
        <color rgb="FF808080"/>
        <rFont val="Microsoft YaHei"/>
        <charset val="1"/>
      </rPr>
      <t>/</t>
    </r>
    <r>
      <rPr>
        <sz val="9.5"/>
        <color rgb="FF808080"/>
        <rFont val="Noto Sans CJK SC"/>
        <charset val="134"/>
      </rPr>
      <t>历史报价整套</t>
    </r>
  </si>
  <si>
    <r>
      <rPr>
        <sz val="9.5"/>
        <color rgb="FF808080"/>
        <rFont val="Noto Sans CJK SC"/>
        <charset val="134"/>
      </rPr>
      <t>客户报价单</t>
    </r>
    <r>
      <rPr>
        <sz val="9.5"/>
        <color rgb="FF808080"/>
        <rFont val="Microsoft YaHei"/>
        <charset val="1"/>
      </rPr>
      <t>/</t>
    </r>
    <r>
      <rPr>
        <sz val="9.5"/>
        <color rgb="FF808080"/>
        <rFont val="Noto Sans CJK SC"/>
        <charset val="134"/>
      </rPr>
      <t>客户协议价</t>
    </r>
    <r>
      <rPr>
        <sz val="9.5"/>
        <color rgb="FF808080"/>
        <rFont val="Microsoft YaHei"/>
        <charset val="1"/>
      </rPr>
      <t>/</t>
    </r>
    <r>
      <rPr>
        <sz val="9.5"/>
        <color rgb="FF808080"/>
        <rFont val="Noto Sans CJK SC"/>
        <charset val="134"/>
      </rPr>
      <t>历史报价（价格管理）</t>
    </r>
  </si>
  <si>
    <r>
      <rPr>
        <b/>
        <sz val="10"/>
        <rFont val="Microsoft YaHei"/>
        <charset val="1"/>
      </rPr>
      <t xml:space="preserve">4 </t>
    </r>
    <r>
      <rPr>
        <b/>
        <sz val="10"/>
        <rFont val="Noto Sans CJK SC"/>
        <charset val="134"/>
      </rPr>
      <t>订单中心</t>
    </r>
  </si>
  <si>
    <r>
      <rPr>
        <b/>
        <sz val="10"/>
        <color rgb="FF1C2B24"/>
        <rFont val="Noto Sans CJK SC"/>
        <charset val="134"/>
      </rPr>
      <t>订单录入</t>
    </r>
    <r>
      <rPr>
        <b/>
        <sz val="10"/>
        <color rgb="FF1C2B24"/>
        <rFont val="Microsoft YaHei"/>
        <charset val="1"/>
      </rPr>
      <t>/</t>
    </r>
    <r>
      <rPr>
        <b/>
        <sz val="10"/>
        <color rgb="FF1C2B24"/>
        <rFont val="Noto Sans CJK SC"/>
        <charset val="134"/>
      </rPr>
      <t>导入</t>
    </r>
  </si>
  <si>
    <r>
      <rPr>
        <sz val="9.5"/>
        <color rgb="FF1C2B24"/>
        <rFont val="Noto Sans CJK SC"/>
        <charset val="134"/>
      </rPr>
      <t>手工录单＋</t>
    </r>
    <r>
      <rPr>
        <sz val="9.5"/>
        <color rgb="FF1C2B24"/>
        <rFont val="Microsoft YaHei"/>
        <charset val="1"/>
      </rPr>
      <t>Excel</t>
    </r>
    <r>
      <rPr>
        <sz val="9.5"/>
        <color rgb="FF1C2B24"/>
        <rFont val="Noto Sans CJK SC"/>
        <charset val="134"/>
      </rPr>
      <t>导入</t>
    </r>
  </si>
  <si>
    <r>
      <rPr>
        <sz val="9.5"/>
        <color rgb="FF6E7D75"/>
        <rFont val="Noto Sans CJK SC"/>
        <charset val="134"/>
      </rPr>
      <t>订单列表（新建</t>
    </r>
    <r>
      <rPr>
        <sz val="9.5"/>
        <color rgb="FF6E7D75"/>
        <rFont val="Microsoft YaHei"/>
        <charset val="1"/>
      </rPr>
      <t>/</t>
    </r>
    <r>
      <rPr>
        <sz val="9.5"/>
        <color rgb="FF6E7D75"/>
        <rFont val="Noto Sans CJK SC"/>
        <charset val="134"/>
      </rPr>
      <t>导入）</t>
    </r>
  </si>
  <si>
    <r>
      <rPr>
        <sz val="10"/>
        <rFont val="Microsoft YaHei"/>
        <charset val="1"/>
      </rPr>
      <t xml:space="preserve">4 </t>
    </r>
    <r>
      <rPr>
        <sz val="10"/>
        <rFont val="Noto Sans CJK SC"/>
        <charset val="134"/>
      </rPr>
      <t>订单中心</t>
    </r>
  </si>
  <si>
    <t>订单列表</t>
  </si>
  <si>
    <t>全部订单查询跟踪</t>
  </si>
  <si>
    <t>订单审核</t>
  </si>
  <si>
    <t>通过方可参与汇总，留痕</t>
  </si>
  <si>
    <t>订单汇总→转生产需求</t>
  </si>
  <si>
    <t>按交期汇总，一键转生产</t>
  </si>
  <si>
    <t>（冠麦为生产计划内订单纳入）</t>
  </si>
  <si>
    <t>汇总口径随决议</t>
  </si>
  <si>
    <t>订单分解</t>
  </si>
  <si>
    <t>按客户维度分解，与分拣投框联动</t>
  </si>
  <si>
    <r>
      <rPr>
        <sz val="9.5"/>
        <color rgb="FF6E7D75"/>
        <rFont val="Noto Sans CJK SC"/>
        <charset val="134"/>
      </rPr>
      <t>（由分拣进度</t>
    </r>
    <r>
      <rPr>
        <sz val="9.5"/>
        <color rgb="FF6E7D75"/>
        <rFont val="Microsoft YaHei"/>
        <charset val="1"/>
      </rPr>
      <t>/</t>
    </r>
    <r>
      <rPr>
        <sz val="9.5"/>
        <color rgb="FF6E7D75"/>
        <rFont val="Noto Sans CJK SC"/>
        <charset val="134"/>
      </rPr>
      <t>明细承接）</t>
    </r>
  </si>
  <si>
    <t>分解逻辑核对中</t>
  </si>
  <si>
    <t>订单对账→转财务</t>
  </si>
  <si>
    <t>对账审批通过流转财务结算</t>
  </si>
  <si>
    <t>对账审批</t>
  </si>
  <si>
    <t>订单变更</t>
  </si>
  <si>
    <t>已审订单变更与影响提示</t>
  </si>
  <si>
    <t>订单列表内操作</t>
  </si>
  <si>
    <t>预订单</t>
  </si>
  <si>
    <t>净配菜次日生产核心单据</t>
  </si>
  <si>
    <t>Q1</t>
  </si>
  <si>
    <t>套账数据</t>
  </si>
  <si>
    <t>订单套账口径</t>
  </si>
  <si>
    <r>
      <rPr>
        <sz val="9.5"/>
        <color rgb="FF6E7D75"/>
        <rFont val="Microsoft YaHei"/>
        <charset val="1"/>
      </rPr>
      <t xml:space="preserve">Q7 </t>
    </r>
    <r>
      <rPr>
        <sz val="9.5"/>
        <color rgb="FF6E7D75"/>
        <rFont val="Noto Sans CJK SC"/>
        <charset val="134"/>
      </rPr>
      <t>口径待明确</t>
    </r>
  </si>
  <si>
    <t>售后列表</t>
  </si>
  <si>
    <t>售后处理入口</t>
  </si>
  <si>
    <t>售后列表（售后）</t>
  </si>
  <si>
    <t>延后</t>
  </si>
  <si>
    <t>P2</t>
  </si>
  <si>
    <t>会议：暂时搁置后做</t>
  </si>
  <si>
    <t>菜谱下单</t>
  </si>
  <si>
    <t>未下单客户提醒</t>
  </si>
  <si>
    <t>未下单客户</t>
  </si>
  <si>
    <r>
      <rPr>
        <b/>
        <strike/>
        <sz val="10"/>
        <color rgb="FF808080"/>
        <rFont val="Noto Sans CJK SC"/>
        <charset val="134"/>
      </rPr>
      <t>客户子账号</t>
    </r>
    <r>
      <rPr>
        <b/>
        <strike/>
        <sz val="10"/>
        <color rgb="FF808080"/>
        <rFont val="Microsoft YaHei"/>
        <charset val="1"/>
      </rPr>
      <t>/</t>
    </r>
    <r>
      <rPr>
        <b/>
        <strike/>
        <sz val="10"/>
        <color rgb="FF808080"/>
        <rFont val="Noto Sans CJK SC"/>
        <charset val="134"/>
      </rPr>
      <t>邀请码</t>
    </r>
    <r>
      <rPr>
        <b/>
        <strike/>
        <sz val="10"/>
        <color rgb="FF808080"/>
        <rFont val="Microsoft YaHei"/>
        <charset val="1"/>
      </rPr>
      <t>/</t>
    </r>
    <r>
      <rPr>
        <b/>
        <strike/>
        <sz val="10"/>
        <color rgb="FF808080"/>
        <rFont val="Noto Sans CJK SC"/>
        <charset val="134"/>
      </rPr>
      <t>订单标签</t>
    </r>
  </si>
  <si>
    <t>截图未见（客户板块未提供）</t>
  </si>
  <si>
    <r>
      <rPr>
        <b/>
        <sz val="10"/>
        <rFont val="Microsoft YaHei"/>
        <charset val="1"/>
      </rPr>
      <t xml:space="preserve">5 </t>
    </r>
    <r>
      <rPr>
        <b/>
        <sz val="10"/>
        <rFont val="Noto Sans CJK SC"/>
        <charset val="134"/>
      </rPr>
      <t>采购中心</t>
    </r>
  </si>
  <si>
    <t>采购需求</t>
  </si>
  <si>
    <t>由生产物料缺口生成或手工提出</t>
  </si>
  <si>
    <r>
      <rPr>
        <sz val="10"/>
        <rFont val="Microsoft YaHei"/>
        <charset val="1"/>
      </rPr>
      <t xml:space="preserve">5 </t>
    </r>
    <r>
      <rPr>
        <sz val="10"/>
        <rFont val="Noto Sans CJK SC"/>
        <charset val="134"/>
      </rPr>
      <t>采购中心</t>
    </r>
  </si>
  <si>
    <t>统一采购单</t>
  </si>
  <si>
    <t>采购计划＋补采＋采购单据三合一；支持后补录入</t>
  </si>
  <si>
    <r>
      <rPr>
        <sz val="9.5"/>
        <color rgb="FF6E7D75"/>
        <rFont val="Noto Sans CJK SC"/>
        <charset val="134"/>
      </rPr>
      <t>采购计划</t>
    </r>
    <r>
      <rPr>
        <sz val="9.5"/>
        <color rgb="FF6E7D75"/>
        <rFont val="Microsoft YaHei"/>
        <charset val="1"/>
      </rPr>
      <t>/</t>
    </r>
    <r>
      <rPr>
        <sz val="9.5"/>
        <color rgb="FF6E7D75"/>
        <rFont val="Noto Sans CJK SC"/>
        <charset val="134"/>
      </rPr>
      <t>补采</t>
    </r>
    <r>
      <rPr>
        <sz val="9.5"/>
        <color rgb="FF6E7D75"/>
        <rFont val="Microsoft YaHei"/>
        <charset val="1"/>
      </rPr>
      <t>/</t>
    </r>
    <r>
      <rPr>
        <sz val="9.5"/>
        <color rgb="FF6E7D75"/>
        <rFont val="Noto Sans CJK SC"/>
        <charset val="134"/>
      </rPr>
      <t>采购单据（采购管理）</t>
    </r>
  </si>
  <si>
    <t>合并整合</t>
  </si>
  <si>
    <r>
      <rPr>
        <sz val="9.5"/>
        <color rgb="FF6E7D75"/>
        <rFont val="Microsoft YaHei"/>
        <charset val="1"/>
      </rPr>
      <t>07-06</t>
    </r>
    <r>
      <rPr>
        <sz val="9.5"/>
        <color rgb="FF6E7D75"/>
        <rFont val="Noto Sans CJK SC"/>
        <charset val="134"/>
      </rPr>
      <t>会议：三合一</t>
    </r>
  </si>
  <si>
    <t>代采单</t>
  </si>
  <si>
    <t>代客采购单据</t>
  </si>
  <si>
    <t>代采单（采购管理）</t>
  </si>
  <si>
    <t>会议未提；建议并入统一采购单或裁剪</t>
  </si>
  <si>
    <r>
      <rPr>
        <b/>
        <sz val="10"/>
        <color rgb="FF1C2B24"/>
        <rFont val="Noto Sans CJK SC"/>
        <charset val="134"/>
      </rPr>
      <t>到货登记</t>
    </r>
    <r>
      <rPr>
        <b/>
        <sz val="10"/>
        <color rgb="FF1C2B24"/>
        <rFont val="Microsoft YaHei"/>
        <charset val="1"/>
      </rPr>
      <t>/</t>
    </r>
    <r>
      <rPr>
        <b/>
        <sz val="10"/>
        <color rgb="FF1C2B24"/>
        <rFont val="Noto Sans CJK SC"/>
        <charset val="134"/>
      </rPr>
      <t>采购验收</t>
    </r>
  </si>
  <si>
    <t>到货与验收差异留痕</t>
  </si>
  <si>
    <t>采购单据流程内</t>
  </si>
  <si>
    <t>检测报告</t>
  </si>
  <si>
    <t>供应商报告随单上传，联动质检溯源</t>
  </si>
  <si>
    <r>
      <rPr>
        <sz val="9.5"/>
        <color rgb="FF6E7D75"/>
        <rFont val="Noto Sans CJK SC"/>
        <charset val="134"/>
      </rPr>
      <t>检测报告（采购</t>
    </r>
    <r>
      <rPr>
        <sz val="9.5"/>
        <color rgb="FF6E7D75"/>
        <rFont val="Microsoft YaHei"/>
        <charset val="1"/>
      </rPr>
      <t>-</t>
    </r>
    <r>
      <rPr>
        <sz val="9.5"/>
        <color rgb="FF6E7D75"/>
        <rFont val="Noto Sans CJK SC"/>
        <charset val="134"/>
      </rPr>
      <t>质检管理）</t>
    </r>
  </si>
  <si>
    <t>结款审批</t>
  </si>
  <si>
    <t>审批后转财务供应商结算</t>
  </si>
  <si>
    <r>
      <rPr>
        <b/>
        <strike/>
        <sz val="10"/>
        <color rgb="FF808080"/>
        <rFont val="Noto Sans CJK SC"/>
        <charset val="134"/>
      </rPr>
      <t>采购规则</t>
    </r>
    <r>
      <rPr>
        <b/>
        <strike/>
        <sz val="10"/>
        <color rgb="FF808080"/>
        <rFont val="Microsoft YaHei"/>
        <charset val="1"/>
      </rPr>
      <t>/</t>
    </r>
    <r>
      <rPr>
        <b/>
        <strike/>
        <sz val="10"/>
        <color rgb="FF808080"/>
        <rFont val="Noto Sans CJK SC"/>
        <charset val="134"/>
      </rPr>
      <t>供货比例</t>
    </r>
  </si>
  <si>
    <r>
      <rPr>
        <sz val="9.5"/>
        <color rgb="FF808080"/>
        <rFont val="Noto Sans CJK SC"/>
        <charset val="134"/>
      </rPr>
      <t>采购计划规则</t>
    </r>
    <r>
      <rPr>
        <sz val="9.5"/>
        <color rgb="FF808080"/>
        <rFont val="Microsoft YaHei"/>
        <charset val="1"/>
      </rPr>
      <t>/</t>
    </r>
    <r>
      <rPr>
        <sz val="9.5"/>
        <color rgb="FF808080"/>
        <rFont val="Noto Sans CJK SC"/>
        <charset val="134"/>
      </rPr>
      <t>供货比例（采购规则）</t>
    </r>
  </si>
  <si>
    <r>
      <rPr>
        <b/>
        <strike/>
        <sz val="10"/>
        <color rgb="FF808080"/>
        <rFont val="Noto Sans CJK SC"/>
        <charset val="134"/>
      </rPr>
      <t>询价记录</t>
    </r>
    <r>
      <rPr>
        <b/>
        <strike/>
        <sz val="10"/>
        <color rgb="FF808080"/>
        <rFont val="Microsoft YaHei"/>
        <charset val="1"/>
      </rPr>
      <t>/</t>
    </r>
    <r>
      <rPr>
        <b/>
        <strike/>
        <sz val="10"/>
        <color rgb="FF808080"/>
        <rFont val="Noto Sans CJK SC"/>
        <charset val="134"/>
      </rPr>
      <t>询价单</t>
    </r>
    <r>
      <rPr>
        <b/>
        <strike/>
        <sz val="10"/>
        <color rgb="FF808080"/>
        <rFont val="Microsoft YaHei"/>
        <charset val="1"/>
      </rPr>
      <t>/</t>
    </r>
    <r>
      <rPr>
        <b/>
        <strike/>
        <sz val="10"/>
        <color rgb="FF808080"/>
        <rFont val="Noto Sans CJK SC"/>
        <charset val="134"/>
      </rPr>
      <t>采购协议价</t>
    </r>
  </si>
  <si>
    <r>
      <rPr>
        <sz val="9.5"/>
        <color rgb="FF808080"/>
        <rFont val="Noto Sans CJK SC"/>
        <charset val="134"/>
      </rPr>
      <t>询价记录</t>
    </r>
    <r>
      <rPr>
        <sz val="9.5"/>
        <color rgb="FF808080"/>
        <rFont val="Microsoft YaHei"/>
        <charset val="1"/>
      </rPr>
      <t>/</t>
    </r>
    <r>
      <rPr>
        <sz val="9.5"/>
        <color rgb="FF808080"/>
        <rFont val="Noto Sans CJK SC"/>
        <charset val="134"/>
      </rPr>
      <t>询价单</t>
    </r>
    <r>
      <rPr>
        <sz val="9.5"/>
        <color rgb="FF808080"/>
        <rFont val="Microsoft YaHei"/>
        <charset val="1"/>
      </rPr>
      <t>/</t>
    </r>
    <r>
      <rPr>
        <sz val="9.5"/>
        <color rgb="FF808080"/>
        <rFont val="Noto Sans CJK SC"/>
        <charset val="134"/>
      </rPr>
      <t>采购协议价</t>
    </r>
  </si>
  <si>
    <r>
      <rPr>
        <b/>
        <sz val="10"/>
        <rFont val="Microsoft YaHei"/>
        <charset val="1"/>
      </rPr>
      <t xml:space="preserve">6 </t>
    </r>
    <r>
      <rPr>
        <b/>
        <sz val="10"/>
        <rFont val="Noto Sans CJK SC"/>
        <charset val="134"/>
      </rPr>
      <t>库存中心</t>
    </r>
  </si>
  <si>
    <r>
      <rPr>
        <b/>
        <sz val="10"/>
        <color rgb="FF1C2B24"/>
        <rFont val="Noto Sans CJK SC"/>
        <charset val="134"/>
      </rPr>
      <t>出入库管理</t>
    </r>
    <r>
      <rPr>
        <b/>
        <sz val="10"/>
        <color rgb="FF1C2B24"/>
        <rFont val="Microsoft YaHei"/>
        <charset val="1"/>
      </rPr>
      <t>-</t>
    </r>
    <r>
      <rPr>
        <b/>
        <sz val="10"/>
        <color rgb="FF1C2B24"/>
        <rFont val="Noto Sans CJK SC"/>
        <charset val="134"/>
      </rPr>
      <t>入库单</t>
    </r>
  </si>
  <si>
    <r>
      <rPr>
        <sz val="9.5"/>
        <color rgb="FF1C2B24"/>
        <rFont val="Noto Sans CJK SC"/>
        <charset val="134"/>
      </rPr>
      <t>采购入库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生产入库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其他入库合并为入库单</t>
    </r>
  </si>
  <si>
    <r>
      <rPr>
        <sz val="9.5"/>
        <color rgb="FF6E7D75"/>
        <rFont val="Noto Sans CJK SC"/>
        <charset val="134"/>
      </rPr>
      <t>采购入库单</t>
    </r>
    <r>
      <rPr>
        <sz val="9.5"/>
        <color rgb="FF6E7D75"/>
        <rFont val="Microsoft YaHei"/>
        <charset val="1"/>
      </rPr>
      <t>/</t>
    </r>
    <r>
      <rPr>
        <sz val="9.5"/>
        <color rgb="FF6E7D75"/>
        <rFont val="Noto Sans CJK SC"/>
        <charset val="134"/>
      </rPr>
      <t>其他入库单（入库管理）</t>
    </r>
  </si>
  <si>
    <r>
      <rPr>
        <sz val="10"/>
        <rFont val="Microsoft YaHei"/>
        <charset val="1"/>
      </rPr>
      <t xml:space="preserve">6 </t>
    </r>
    <r>
      <rPr>
        <sz val="10"/>
        <rFont val="Noto Sans CJK SC"/>
        <charset val="134"/>
      </rPr>
      <t>库存中心</t>
    </r>
  </si>
  <si>
    <r>
      <rPr>
        <b/>
        <sz val="10"/>
        <color rgb="FF1C2B24"/>
        <rFont val="Noto Sans CJK SC"/>
        <charset val="134"/>
      </rPr>
      <t>出入库管理</t>
    </r>
    <r>
      <rPr>
        <b/>
        <sz val="10"/>
        <color rgb="FF1C2B24"/>
        <rFont val="Microsoft YaHei"/>
        <charset val="1"/>
      </rPr>
      <t>-</t>
    </r>
    <r>
      <rPr>
        <b/>
        <sz val="10"/>
        <color rgb="FF1C2B24"/>
        <rFont val="Noto Sans CJK SC"/>
        <charset val="134"/>
      </rPr>
      <t>出库单</t>
    </r>
  </si>
  <si>
    <r>
      <rPr>
        <sz val="9.5"/>
        <color rgb="FF1C2B24"/>
        <rFont val="Noto Sans CJK SC"/>
        <charset val="134"/>
      </rPr>
      <t>销售出库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领料出库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其他出库合并为出库单</t>
    </r>
  </si>
  <si>
    <r>
      <rPr>
        <sz val="9.5"/>
        <color rgb="FF6E7D75"/>
        <rFont val="Noto Sans CJK SC"/>
        <charset val="134"/>
      </rPr>
      <t>销售出库单</t>
    </r>
    <r>
      <rPr>
        <sz val="9.5"/>
        <color rgb="FF6E7D75"/>
        <rFont val="Microsoft YaHei"/>
        <charset val="1"/>
      </rPr>
      <t>/</t>
    </r>
    <r>
      <rPr>
        <sz val="9.5"/>
        <color rgb="FF6E7D75"/>
        <rFont val="Noto Sans CJK SC"/>
        <charset val="134"/>
      </rPr>
      <t>其他出库单（出库管理）</t>
    </r>
  </si>
  <si>
    <t>退货类单据</t>
  </si>
  <si>
    <r>
      <rPr>
        <sz val="9.5"/>
        <color rgb="FF1C2B24"/>
        <rFont val="Noto Sans CJK SC"/>
        <charset val="134"/>
      </rPr>
      <t>销售退货入库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采购退货出库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其他退货</t>
    </r>
  </si>
  <si>
    <r>
      <rPr>
        <sz val="9.5"/>
        <color rgb="FF6E7D75"/>
        <rFont val="Noto Sans CJK SC"/>
        <charset val="134"/>
      </rPr>
      <t>销售退货入库单</t>
    </r>
    <r>
      <rPr>
        <sz val="9.5"/>
        <color rgb="FF6E7D75"/>
        <rFont val="Microsoft YaHei"/>
        <charset val="1"/>
      </rPr>
      <t>/</t>
    </r>
    <r>
      <rPr>
        <sz val="9.5"/>
        <color rgb="FF6E7D75"/>
        <rFont val="Noto Sans CJK SC"/>
        <charset val="134"/>
      </rPr>
      <t>采购退货出库单等</t>
    </r>
    <r>
      <rPr>
        <sz val="9.5"/>
        <color rgb="FF6E7D75"/>
        <rFont val="Microsoft YaHei"/>
        <charset val="1"/>
      </rPr>
      <t>4</t>
    </r>
    <r>
      <rPr>
        <sz val="9.5"/>
        <color rgb="FF6E7D75"/>
        <rFont val="Noto Sans CJK SC"/>
        <charset val="134"/>
      </rPr>
      <t>类</t>
    </r>
  </si>
  <si>
    <r>
      <rPr>
        <sz val="9.5"/>
        <color rgb="FF6E7D75"/>
        <rFont val="Noto Sans CJK SC"/>
        <charset val="134"/>
      </rPr>
      <t>会议未提；建议销售退货随售后延后、采购退货</t>
    </r>
    <r>
      <rPr>
        <sz val="9.5"/>
        <color rgb="FF6E7D75"/>
        <rFont val="Microsoft YaHei"/>
        <charset val="1"/>
      </rPr>
      <t>P1</t>
    </r>
  </si>
  <si>
    <t>库存盘点</t>
  </si>
  <si>
    <t>盘点任务＋盘盈入库＋盘亏出库合并</t>
  </si>
  <si>
    <r>
      <rPr>
        <sz val="9.5"/>
        <color rgb="FF6E7D75"/>
        <rFont val="Noto Sans CJK SC"/>
        <charset val="134"/>
      </rPr>
      <t>盘点任务</t>
    </r>
    <r>
      <rPr>
        <sz val="9.5"/>
        <color rgb="FF6E7D75"/>
        <rFont val="Microsoft YaHei"/>
        <charset val="1"/>
      </rPr>
      <t>/</t>
    </r>
    <r>
      <rPr>
        <sz val="9.5"/>
        <color rgb="FF6E7D75"/>
        <rFont val="Noto Sans CJK SC"/>
        <charset val="134"/>
      </rPr>
      <t>盘盈单入库单</t>
    </r>
    <r>
      <rPr>
        <sz val="9.5"/>
        <color rgb="FF6E7D75"/>
        <rFont val="Microsoft YaHei"/>
        <charset val="1"/>
      </rPr>
      <t>/</t>
    </r>
    <r>
      <rPr>
        <sz val="9.5"/>
        <color rgb="FF6E7D75"/>
        <rFont val="Noto Sans CJK SC"/>
        <charset val="134"/>
      </rPr>
      <t>盘亏单出库单</t>
    </r>
  </si>
  <si>
    <t>组装拆卸单</t>
  </si>
  <si>
    <r>
      <rPr>
        <sz val="9.5"/>
        <color rgb="FF1C2B24"/>
        <rFont val="Noto Sans CJK SC"/>
        <charset val="134"/>
      </rPr>
      <t>组合商品组装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拆卸出入库</t>
    </r>
  </si>
  <si>
    <t>组装拆卸单（盘点管理）</t>
  </si>
  <si>
    <t>会议未提；与组合商品联动</t>
  </si>
  <si>
    <t>库存查询</t>
  </si>
  <si>
    <t>现存量与出入库明细查询</t>
  </si>
  <si>
    <r>
      <rPr>
        <sz val="9.5"/>
        <color rgb="FF6E7D75"/>
        <rFont val="Noto Sans CJK SC"/>
        <charset val="134"/>
      </rPr>
      <t>库存查询表</t>
    </r>
    <r>
      <rPr>
        <sz val="9.5"/>
        <color rgb="FF6E7D75"/>
        <rFont val="Microsoft YaHei"/>
        <charset val="1"/>
      </rPr>
      <t>/</t>
    </r>
    <r>
      <rPr>
        <sz val="9.5"/>
        <color rgb="FF6E7D75"/>
        <rFont val="Noto Sans CJK SC"/>
        <charset val="134"/>
      </rPr>
      <t>出入库明细（库存数据）</t>
    </r>
  </si>
  <si>
    <t>库存预警</t>
  </si>
  <si>
    <t>低于安全库存提醒</t>
  </si>
  <si>
    <r>
      <rPr>
        <b/>
        <sz val="10"/>
        <color rgb="FF1C2B24"/>
        <rFont val="Noto Sans CJK SC"/>
        <charset val="134"/>
      </rPr>
      <t>批次</t>
    </r>
    <r>
      <rPr>
        <b/>
        <sz val="10"/>
        <color rgb="FF1C2B24"/>
        <rFont val="Microsoft YaHei"/>
        <charset val="1"/>
      </rPr>
      <t>/</t>
    </r>
    <r>
      <rPr>
        <b/>
        <sz val="10"/>
        <color rgb="FF1C2B24"/>
        <rFont val="Noto Sans CJK SC"/>
        <charset val="134"/>
      </rPr>
      <t>保质期管理</t>
    </r>
  </si>
  <si>
    <t>食品安全相关</t>
  </si>
  <si>
    <t>截图未见明确入口</t>
  </si>
  <si>
    <r>
      <rPr>
        <sz val="9.5"/>
        <color rgb="FF6E7D75"/>
        <rFont val="Noto Sans CJK SC"/>
        <charset val="134"/>
      </rPr>
      <t>随</t>
    </r>
    <r>
      <rPr>
        <sz val="9.5"/>
        <color rgb="FF6E7D75"/>
        <rFont val="Microsoft YaHei"/>
        <charset val="1"/>
      </rPr>
      <t>Q9</t>
    </r>
  </si>
  <si>
    <t>库存成本</t>
  </si>
  <si>
    <t>成本调整单与成本核算</t>
  </si>
  <si>
    <r>
      <rPr>
        <sz val="9.5"/>
        <color rgb="FF6E7D75"/>
        <rFont val="Noto Sans CJK SC"/>
        <charset val="134"/>
      </rPr>
      <t>成本调整单</t>
    </r>
    <r>
      <rPr>
        <sz val="9.5"/>
        <color rgb="FF6E7D75"/>
        <rFont val="Microsoft YaHei"/>
        <charset val="1"/>
      </rPr>
      <t>/</t>
    </r>
    <r>
      <rPr>
        <sz val="9.5"/>
        <color rgb="FF6E7D75"/>
        <rFont val="Noto Sans CJK SC"/>
        <charset val="134"/>
      </rPr>
      <t>成本核算（成本管理）</t>
    </r>
  </si>
  <si>
    <r>
      <rPr>
        <sz val="9.5"/>
        <color rgb="FF6E7D75"/>
        <rFont val="Noto Sans CJK SC"/>
        <charset val="134"/>
      </rPr>
      <t>归属随</t>
    </r>
    <r>
      <rPr>
        <sz val="9.5"/>
        <color rgb="FF6E7D75"/>
        <rFont val="Microsoft YaHei"/>
        <charset val="1"/>
      </rPr>
      <t>Q4</t>
    </r>
  </si>
  <si>
    <t>调拨管理</t>
  </si>
  <si>
    <r>
      <rPr>
        <sz val="9.5"/>
        <color rgb="FF808080"/>
        <rFont val="Noto Sans CJK SC"/>
        <charset val="134"/>
      </rPr>
      <t>调拨任务</t>
    </r>
    <r>
      <rPr>
        <sz val="9.5"/>
        <color rgb="FF808080"/>
        <rFont val="Microsoft YaHei"/>
        <charset val="1"/>
      </rPr>
      <t>/</t>
    </r>
    <r>
      <rPr>
        <sz val="9.5"/>
        <color rgb="FF808080"/>
        <rFont val="Noto Sans CJK SC"/>
        <charset val="134"/>
      </rPr>
      <t>调拨出库单</t>
    </r>
    <r>
      <rPr>
        <sz val="9.5"/>
        <color rgb="FF808080"/>
        <rFont val="Microsoft YaHei"/>
        <charset val="1"/>
      </rPr>
      <t>/</t>
    </r>
    <r>
      <rPr>
        <sz val="9.5"/>
        <color rgb="FF808080"/>
        <rFont val="Noto Sans CJK SC"/>
        <charset val="134"/>
      </rPr>
      <t>调拨入库单</t>
    </r>
  </si>
  <si>
    <r>
      <rPr>
        <b/>
        <strike/>
        <sz val="10"/>
        <color rgb="FF808080"/>
        <rFont val="Noto Sans CJK SC"/>
        <charset val="134"/>
      </rPr>
      <t>仓位类（上下架</t>
    </r>
    <r>
      <rPr>
        <b/>
        <strike/>
        <sz val="10"/>
        <color rgb="FF808080"/>
        <rFont val="Microsoft YaHei"/>
        <charset val="1"/>
      </rPr>
      <t>/</t>
    </r>
    <r>
      <rPr>
        <b/>
        <strike/>
        <sz val="10"/>
        <color rgb="FF808080"/>
        <rFont val="Noto Sans CJK SC"/>
        <charset val="134"/>
      </rPr>
      <t>移库）</t>
    </r>
  </si>
  <si>
    <r>
      <rPr>
        <sz val="9.5"/>
        <color rgb="FF808080"/>
        <rFont val="Noto Sans CJK SC"/>
        <charset val="134"/>
      </rPr>
      <t>上下架管理</t>
    </r>
    <r>
      <rPr>
        <sz val="9.5"/>
        <color rgb="FF808080"/>
        <rFont val="Microsoft YaHei"/>
        <charset val="1"/>
      </rPr>
      <t>/</t>
    </r>
    <r>
      <rPr>
        <sz val="9.5"/>
        <color rgb="FF808080"/>
        <rFont val="Noto Sans CJK SC"/>
        <charset val="134"/>
      </rPr>
      <t>移库单</t>
    </r>
  </si>
  <si>
    <r>
      <rPr>
        <sz val="9.5"/>
        <color rgb="FF808080"/>
        <rFont val="Microsoft YaHei"/>
        <charset val="1"/>
      </rPr>
      <t>07-06</t>
    </r>
    <r>
      <rPr>
        <sz val="9.5"/>
        <color rgb="FF808080"/>
        <rFont val="Noto Sans CJK SC"/>
        <charset val="134"/>
      </rPr>
      <t>会议：仓位管理裁剪</t>
    </r>
  </si>
  <si>
    <t>在途库存分布</t>
  </si>
  <si>
    <t>在途库存分布（库存数据）</t>
  </si>
  <si>
    <r>
      <rPr>
        <b/>
        <sz val="10"/>
        <color rgb="FF1C2B24"/>
        <rFont val="Noto Sans CJK SC"/>
        <charset val="134"/>
      </rPr>
      <t>占用</t>
    </r>
    <r>
      <rPr>
        <b/>
        <sz val="10"/>
        <color rgb="FF1C2B24"/>
        <rFont val="Microsoft YaHei"/>
        <charset val="1"/>
      </rPr>
      <t>/</t>
    </r>
    <r>
      <rPr>
        <b/>
        <sz val="10"/>
        <color rgb="FF1C2B24"/>
        <rFont val="Noto Sans CJK SC"/>
        <charset val="134"/>
      </rPr>
      <t>待出库分布</t>
    </r>
  </si>
  <si>
    <t>库存占用与待出库视图</t>
  </si>
  <si>
    <r>
      <rPr>
        <sz val="9.5"/>
        <color rgb="FF6E7D75"/>
        <rFont val="Noto Sans CJK SC"/>
        <charset val="134"/>
      </rPr>
      <t>占用库存分布</t>
    </r>
    <r>
      <rPr>
        <sz val="9.5"/>
        <color rgb="FF6E7D75"/>
        <rFont val="Microsoft YaHei"/>
        <charset val="1"/>
      </rPr>
      <t>/</t>
    </r>
    <r>
      <rPr>
        <sz val="9.5"/>
        <color rgb="FF6E7D75"/>
        <rFont val="Noto Sans CJK SC"/>
        <charset val="134"/>
      </rPr>
      <t>待出库数据分布</t>
    </r>
  </si>
  <si>
    <t>会议未提，建议延后</t>
  </si>
  <si>
    <r>
      <rPr>
        <b/>
        <sz val="10"/>
        <rFont val="Microsoft YaHei"/>
        <charset val="1"/>
      </rPr>
      <t xml:space="preserve">7 </t>
    </r>
    <r>
      <rPr>
        <b/>
        <sz val="10"/>
        <rFont val="Noto Sans CJK SC"/>
        <charset val="134"/>
      </rPr>
      <t>生产中心</t>
    </r>
  </si>
  <si>
    <t>生产计划</t>
  </si>
  <si>
    <t>按交期＋产线新建；无餐次字段</t>
  </si>
  <si>
    <t>生产计划（生产管理）</t>
  </si>
  <si>
    <r>
      <rPr>
        <sz val="10"/>
        <rFont val="Microsoft YaHei"/>
        <charset val="1"/>
      </rPr>
      <t xml:space="preserve">7 </t>
    </r>
    <r>
      <rPr>
        <sz val="10"/>
        <rFont val="Noto Sans CJK SC"/>
        <charset val="134"/>
      </rPr>
      <t>生产中心</t>
    </r>
  </si>
  <si>
    <t>生产需求（订单纳入）</t>
  </si>
  <si>
    <r>
      <rPr>
        <sz val="9.5"/>
        <color rgb="FF1C2B24"/>
        <rFont val="Noto Sans CJK SC"/>
        <charset val="134"/>
      </rPr>
      <t>汇总转入＋手动补录；</t>
    </r>
    <r>
      <rPr>
        <sz val="9.5"/>
        <color rgb="FF1C2B24"/>
        <rFont val="Microsoft YaHei"/>
        <charset val="1"/>
      </rPr>
      <t>SC/BZ</t>
    </r>
    <r>
      <rPr>
        <sz val="9.5"/>
        <color rgb="FF1C2B24"/>
        <rFont val="Noto Sans CJK SC"/>
        <charset val="134"/>
      </rPr>
      <t>单</t>
    </r>
  </si>
  <si>
    <t>生产计划内订单纳入</t>
  </si>
  <si>
    <r>
      <rPr>
        <sz val="9.5"/>
        <color rgb="FF6E7D75"/>
        <rFont val="Noto Sans CJK SC"/>
        <charset val="134"/>
      </rPr>
      <t>编号随</t>
    </r>
    <r>
      <rPr>
        <sz val="9.5"/>
        <color rgb="FF6E7D75"/>
        <rFont val="Microsoft YaHei"/>
        <charset val="1"/>
      </rPr>
      <t>Q5</t>
    </r>
  </si>
  <si>
    <r>
      <rPr>
        <b/>
        <sz val="10"/>
        <color rgb="FF1C2B24"/>
        <rFont val="Noto Sans CJK SC"/>
        <charset val="134"/>
      </rPr>
      <t>物料需求（</t>
    </r>
    <r>
      <rPr>
        <b/>
        <sz val="10"/>
        <color rgb="FF1C2B24"/>
        <rFont val="Microsoft YaHei"/>
        <charset val="1"/>
      </rPr>
      <t>BOM</t>
    </r>
    <r>
      <rPr>
        <b/>
        <sz val="10"/>
        <color rgb="FF1C2B24"/>
        <rFont val="Noto Sans CJK SC"/>
        <charset val="134"/>
      </rPr>
      <t>展开）</t>
    </r>
  </si>
  <si>
    <r>
      <rPr>
        <sz val="9.5"/>
        <color rgb="FF1C2B24"/>
        <rFont val="Noto Sans CJK SC"/>
        <charset val="134"/>
      </rPr>
      <t>毛料＝净料</t>
    </r>
    <r>
      <rPr>
        <sz val="9.5"/>
        <color rgb="FF1C2B24"/>
        <rFont val="Microsoft YaHei"/>
        <charset val="1"/>
      </rPr>
      <t>÷</t>
    </r>
    <r>
      <rPr>
        <sz val="9.5"/>
        <color rgb="FF1C2B24"/>
        <rFont val="Noto Sans CJK SC"/>
        <charset val="134"/>
      </rPr>
      <t>出成率，缺口提示</t>
    </r>
  </si>
  <si>
    <t>领料管理内原料明细</t>
  </si>
  <si>
    <t>领料管理</t>
  </si>
  <si>
    <r>
      <rPr>
        <sz val="9.5"/>
        <color rgb="FF1C2B24"/>
        <rFont val="Noto Sans CJK SC"/>
        <charset val="134"/>
      </rPr>
      <t>生成领料单（</t>
    </r>
    <r>
      <rPr>
        <sz val="9.5"/>
        <color rgb="FF1C2B24"/>
        <rFont val="Microsoft YaHei"/>
        <charset val="1"/>
      </rPr>
      <t>LL</t>
    </r>
    <r>
      <rPr>
        <sz val="9.5"/>
        <color rgb="FF1C2B24"/>
        <rFont val="Noto Sans CJK SC"/>
        <charset val="134"/>
      </rPr>
      <t>）交仓库</t>
    </r>
  </si>
  <si>
    <r>
      <rPr>
        <sz val="9.5"/>
        <color rgb="FF6E7D75"/>
        <rFont val="Noto Sans CJK SC"/>
        <charset val="134"/>
      </rPr>
      <t>领料管理＋领料出库单（库存</t>
    </r>
    <r>
      <rPr>
        <sz val="9.5"/>
        <color rgb="FF6E7D75"/>
        <rFont val="Microsoft YaHei"/>
        <charset val="1"/>
      </rPr>
      <t>-</t>
    </r>
    <r>
      <rPr>
        <sz val="9.5"/>
        <color rgb="FF6E7D75"/>
        <rFont val="Noto Sans CJK SC"/>
        <charset val="134"/>
      </rPr>
      <t>生产）</t>
    </r>
  </si>
  <si>
    <t>下达工单</t>
  </si>
  <si>
    <r>
      <rPr>
        <sz val="9.5"/>
        <color rgb="FF1C2B24"/>
        <rFont val="Noto Sans CJK SC"/>
        <charset val="134"/>
      </rPr>
      <t>需求转工单（</t>
    </r>
    <r>
      <rPr>
        <sz val="9.5"/>
        <color rgb="FF1C2B24"/>
        <rFont val="Microsoft YaHei"/>
        <charset val="1"/>
      </rPr>
      <t>RW</t>
    </r>
    <r>
      <rPr>
        <sz val="9.5"/>
        <color rgb="FF1C2B24"/>
        <rFont val="Noto Sans CJK SC"/>
        <charset val="134"/>
      </rPr>
      <t>）进入工序流转</t>
    </r>
  </si>
  <si>
    <t>生产任务下达</t>
  </si>
  <si>
    <t>工序管理</t>
  </si>
  <si>
    <r>
      <rPr>
        <sz val="9.5"/>
        <color rgb="FF1C2B24"/>
        <rFont val="Noto Sans CJK SC"/>
        <charset val="134"/>
      </rPr>
      <t>路线按品类维护；</t>
    </r>
    <r>
      <rPr>
        <sz val="9.5"/>
        <color rgb="FF1C2B24"/>
        <rFont val="Microsoft YaHei"/>
        <charset val="1"/>
      </rPr>
      <t>SC</t>
    </r>
    <r>
      <rPr>
        <sz val="9.5"/>
        <color rgb="FF1C2B24"/>
        <rFont val="Noto Sans CJK SC"/>
        <charset val="134"/>
      </rPr>
      <t>四道</t>
    </r>
    <r>
      <rPr>
        <sz val="9.5"/>
        <color rgb="FF1C2B24"/>
        <rFont val="Microsoft YaHei"/>
        <charset val="1"/>
      </rPr>
      <t>/BZ</t>
    </r>
    <r>
      <rPr>
        <sz val="9.5"/>
        <color rgb="FF1C2B24"/>
        <rFont val="Noto Sans CJK SC"/>
        <charset val="134"/>
      </rPr>
      <t>三道</t>
    </r>
  </si>
  <si>
    <t>工序管理（生产设置）</t>
  </si>
  <si>
    <t>工序报工</t>
  </si>
  <si>
    <r>
      <rPr>
        <sz val="9.5"/>
        <color rgb="FF1C2B24"/>
        <rFont val="Noto Sans CJK SC"/>
        <charset val="134"/>
      </rPr>
      <t>开工→报工双动作留痕：时间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数量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损耗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报工人</t>
    </r>
  </si>
  <si>
    <t>生产进度</t>
  </si>
  <si>
    <r>
      <rPr>
        <sz val="9.5"/>
        <color rgb="FF6E7D75"/>
        <rFont val="Noto Sans CJK SC"/>
        <charset val="134"/>
      </rPr>
      <t>冠麦仅进度，新架构增强留痕；分批随</t>
    </r>
    <r>
      <rPr>
        <sz val="9.5"/>
        <color rgb="FF6E7D75"/>
        <rFont val="Microsoft YaHei"/>
        <charset val="1"/>
      </rPr>
      <t>Q3</t>
    </r>
  </si>
  <si>
    <t>投料登记</t>
  </si>
  <si>
    <r>
      <rPr>
        <sz val="9.5"/>
        <color rgb="FF1C2B24"/>
        <rFont val="Noto Sans CJK SC"/>
        <charset val="134"/>
      </rPr>
      <t>实际投料与标准</t>
    </r>
    <r>
      <rPr>
        <sz val="9.5"/>
        <color rgb="FF1C2B24"/>
        <rFont val="Microsoft YaHei"/>
        <charset val="1"/>
      </rPr>
      <t>BOM</t>
    </r>
    <r>
      <rPr>
        <sz val="9.5"/>
        <color rgb="FF1C2B24"/>
        <rFont val="Noto Sans CJK SC"/>
        <charset val="134"/>
      </rPr>
      <t>对照</t>
    </r>
  </si>
  <si>
    <t>投料与产出记录</t>
  </si>
  <si>
    <t>产出登记</t>
  </si>
  <si>
    <t>末道工序开工后登记；回写进度并生成入库单</t>
  </si>
  <si>
    <t>产出管理＋生产入库单</t>
  </si>
  <si>
    <r>
      <rPr>
        <sz val="9.5"/>
        <color rgb="FF6E7D75"/>
        <rFont val="Noto Sans CJK SC"/>
        <charset val="134"/>
      </rPr>
      <t>超产随</t>
    </r>
    <r>
      <rPr>
        <sz val="9.5"/>
        <color rgb="FF6E7D75"/>
        <rFont val="Microsoft YaHei"/>
        <charset val="1"/>
      </rPr>
      <t>Q2</t>
    </r>
  </si>
  <si>
    <t>退料管理</t>
  </si>
  <si>
    <t>投料多退少补，退料入库</t>
  </si>
  <si>
    <t>退料管理＋退料入库单</t>
  </si>
  <si>
    <r>
      <rPr>
        <sz val="9.5"/>
        <color rgb="FF6E7D75"/>
        <rFont val="Noto Sans CJK SC"/>
        <charset val="134"/>
      </rPr>
      <t>会议未提；建议</t>
    </r>
    <r>
      <rPr>
        <sz val="9.5"/>
        <color rgb="FF6E7D75"/>
        <rFont val="Microsoft YaHei"/>
        <charset val="1"/>
      </rPr>
      <t>P1</t>
    </r>
  </si>
  <si>
    <r>
      <rPr>
        <b/>
        <sz val="10"/>
        <color rgb="FF1C2B24"/>
        <rFont val="Noto Sans CJK SC"/>
        <charset val="134"/>
      </rPr>
      <t>生产完工</t>
    </r>
    <r>
      <rPr>
        <b/>
        <sz val="10"/>
        <color rgb="FF1C2B24"/>
        <rFont val="Microsoft YaHei"/>
        <charset val="1"/>
      </rPr>
      <t>/</t>
    </r>
    <r>
      <rPr>
        <b/>
        <sz val="10"/>
        <color rgb="FF1C2B24"/>
        <rFont val="Noto Sans CJK SC"/>
        <charset val="134"/>
      </rPr>
      <t>完工结案</t>
    </r>
  </si>
  <si>
    <t>全部产出后结案归档</t>
  </si>
  <si>
    <r>
      <rPr>
        <sz val="9.5"/>
        <color rgb="FF6E7D75"/>
        <rFont val="Noto Sans CJK SC"/>
        <charset val="134"/>
      </rPr>
      <t>（冠麦按进度</t>
    </r>
    <r>
      <rPr>
        <sz val="9.5"/>
        <color rgb="FF6E7D75"/>
        <rFont val="Microsoft YaHei"/>
        <charset val="1"/>
      </rPr>
      <t>100%</t>
    </r>
    <r>
      <rPr>
        <sz val="9.5"/>
        <color rgb="FF6E7D75"/>
        <rFont val="Noto Sans CJK SC"/>
        <charset val="134"/>
      </rPr>
      <t>）</t>
    </r>
  </si>
  <si>
    <t>线边仓库存总览</t>
  </si>
  <si>
    <t>车间线边库存只读视图</t>
  </si>
  <si>
    <t>打印箱签</t>
  </si>
  <si>
    <t>产出箱签打印</t>
  </si>
  <si>
    <t>打印箱签（生产工具）</t>
  </si>
  <si>
    <r>
      <rPr>
        <sz val="9.5"/>
        <color rgb="FF6E7D75"/>
        <rFont val="Noto Sans CJK SC"/>
        <charset val="134"/>
      </rPr>
      <t>会议未提；工厂实操建议</t>
    </r>
    <r>
      <rPr>
        <sz val="9.5"/>
        <color rgb="FF6E7D75"/>
        <rFont val="Microsoft YaHei"/>
        <charset val="1"/>
      </rPr>
      <t>P1</t>
    </r>
    <r>
      <rPr>
        <sz val="9.5"/>
        <color rgb="FF6E7D75"/>
        <rFont val="Noto Sans CJK SC"/>
        <charset val="134"/>
      </rPr>
      <t>保留</t>
    </r>
  </si>
  <si>
    <t>生产线排程</t>
  </si>
  <si>
    <t>多产线任务排程</t>
  </si>
  <si>
    <t>工厂模型延伸</t>
  </si>
  <si>
    <t>损耗记录汇总</t>
  </si>
  <si>
    <t>工序与产出损耗汇总</t>
  </si>
  <si>
    <t>投料产出记录内</t>
  </si>
  <si>
    <t>商品台账</t>
  </si>
  <si>
    <t>生产商品台账</t>
  </si>
  <si>
    <t>商品台账（生产管理）</t>
  </si>
  <si>
    <t>归报表中心</t>
  </si>
  <si>
    <t>餐次管理</t>
  </si>
  <si>
    <t>生产计划内餐次</t>
  </si>
  <si>
    <t>净菜菜谱管理</t>
  </si>
  <si>
    <t>菜谱相关</t>
  </si>
  <si>
    <t>猪肉分割类生产</t>
  </si>
  <si>
    <r>
      <rPr>
        <b/>
        <sz val="10"/>
        <rFont val="Microsoft YaHei"/>
        <charset val="1"/>
      </rPr>
      <t xml:space="preserve">8 </t>
    </r>
    <r>
      <rPr>
        <b/>
        <sz val="10"/>
        <rFont val="Noto Sans CJK SC"/>
        <charset val="134"/>
      </rPr>
      <t>质检溯源</t>
    </r>
  </si>
  <si>
    <t>质检管理（执行）</t>
  </si>
  <si>
    <t>质检任务与结果记录</t>
  </si>
  <si>
    <t>质检管理</t>
  </si>
  <si>
    <r>
      <rPr>
        <sz val="9.5"/>
        <color rgb="FF6E7D75"/>
        <rFont val="Noto Sans CJK SC"/>
        <charset val="134"/>
      </rPr>
      <t>基础能力随一期</t>
    </r>
    <r>
      <rPr>
        <sz val="9.5"/>
        <color rgb="FF6E7D75"/>
        <rFont val="Microsoft YaHei"/>
        <charset val="1"/>
      </rPr>
      <t>APP</t>
    </r>
  </si>
  <si>
    <r>
      <rPr>
        <sz val="10"/>
        <rFont val="Microsoft YaHei"/>
        <charset val="1"/>
      </rPr>
      <t xml:space="preserve">8 </t>
    </r>
    <r>
      <rPr>
        <sz val="10"/>
        <rFont val="Noto Sans CJK SC"/>
        <charset val="134"/>
      </rPr>
      <t>质检溯源</t>
    </r>
  </si>
  <si>
    <t>质检字段管理</t>
  </si>
  <si>
    <t>质检字段自定义</t>
  </si>
  <si>
    <t>质检模板管理</t>
  </si>
  <si>
    <t>供应商报告＋自检报告两套模板</t>
  </si>
  <si>
    <t>检测报告库</t>
  </si>
  <si>
    <t>报告统一归档备查</t>
  </si>
  <si>
    <t>检测报告（采购侧）</t>
  </si>
  <si>
    <t>溯源管理</t>
  </si>
  <si>
    <t>从成品反查原料与批次</t>
  </si>
  <si>
    <r>
      <rPr>
        <b/>
        <sz val="10"/>
        <color rgb="FF1C2B24"/>
        <rFont val="Noto Sans CJK SC"/>
        <charset val="134"/>
      </rPr>
      <t>原料</t>
    </r>
    <r>
      <rPr>
        <b/>
        <sz val="10"/>
        <color rgb="FF1C2B24"/>
        <rFont val="Microsoft YaHei"/>
        <charset val="1"/>
      </rPr>
      <t>/</t>
    </r>
    <r>
      <rPr>
        <b/>
        <sz val="10"/>
        <color rgb="FF1C2B24"/>
        <rFont val="Noto Sans CJK SC"/>
        <charset val="134"/>
      </rPr>
      <t>过程</t>
    </r>
    <r>
      <rPr>
        <b/>
        <sz val="10"/>
        <color rgb="FF1C2B24"/>
        <rFont val="Microsoft YaHei"/>
        <charset val="1"/>
      </rPr>
      <t>/</t>
    </r>
    <r>
      <rPr>
        <b/>
        <sz val="10"/>
        <color rgb="FF1C2B24"/>
        <rFont val="Noto Sans CJK SC"/>
        <charset val="134"/>
      </rPr>
      <t>成品质检细分</t>
    </r>
  </si>
  <si>
    <t>三段质检细分</t>
  </si>
  <si>
    <t>质检管理内</t>
  </si>
  <si>
    <t>不合格处理</t>
  </si>
  <si>
    <t>不合格品处置流程</t>
  </si>
  <si>
    <r>
      <rPr>
        <b/>
        <sz val="10"/>
        <rFont val="Microsoft YaHei"/>
        <charset val="1"/>
      </rPr>
      <t xml:space="preserve">9 </t>
    </r>
    <r>
      <rPr>
        <b/>
        <sz val="10"/>
        <rFont val="Noto Sans CJK SC"/>
        <charset val="134"/>
      </rPr>
      <t>分拣配送</t>
    </r>
  </si>
  <si>
    <t>分拣任务（分解）</t>
  </si>
  <si>
    <t>按客户订单分解产出逐项投框</t>
  </si>
  <si>
    <t>分拣进度承接</t>
  </si>
  <si>
    <r>
      <rPr>
        <sz val="9.5"/>
        <color rgb="FF6E7D75"/>
        <rFont val="Noto Sans CJK SC"/>
        <charset val="134"/>
      </rPr>
      <t>分解逻辑核对中（</t>
    </r>
    <r>
      <rPr>
        <sz val="9.5"/>
        <color rgb="FF6E7D75"/>
        <rFont val="Microsoft YaHei"/>
        <charset val="1"/>
      </rPr>
      <t>07-06</t>
    </r>
    <r>
      <rPr>
        <sz val="9.5"/>
        <color rgb="FF6E7D75"/>
        <rFont val="Noto Sans CJK SC"/>
        <charset val="134"/>
      </rPr>
      <t>待办）</t>
    </r>
  </si>
  <si>
    <r>
      <rPr>
        <sz val="10"/>
        <rFont val="Microsoft YaHei"/>
        <charset val="1"/>
      </rPr>
      <t xml:space="preserve">9 </t>
    </r>
    <r>
      <rPr>
        <sz val="10"/>
        <rFont val="Noto Sans CJK SC"/>
        <charset val="134"/>
      </rPr>
      <t>分拣配送</t>
    </r>
  </si>
  <si>
    <r>
      <rPr>
        <b/>
        <sz val="10"/>
        <color rgb="FF1C2B24"/>
        <rFont val="Noto Sans CJK SC"/>
        <charset val="134"/>
      </rPr>
      <t>分拣进度</t>
    </r>
    <r>
      <rPr>
        <b/>
        <sz val="10"/>
        <color rgb="FF1C2B24"/>
        <rFont val="Microsoft YaHei"/>
        <charset val="1"/>
      </rPr>
      <t>/</t>
    </r>
    <r>
      <rPr>
        <b/>
        <sz val="10"/>
        <color rgb="FF1C2B24"/>
        <rFont val="Noto Sans CJK SC"/>
        <charset val="134"/>
      </rPr>
      <t>明细</t>
    </r>
  </si>
  <si>
    <t>按客户维度跟踪</t>
  </si>
  <si>
    <r>
      <rPr>
        <sz val="9.5"/>
        <color rgb="FF6E7D75"/>
        <rFont val="Noto Sans CJK SC"/>
        <charset val="134"/>
      </rPr>
      <t>分拣进度</t>
    </r>
    <r>
      <rPr>
        <sz val="9.5"/>
        <color rgb="FF6E7D75"/>
        <rFont val="Microsoft YaHei"/>
        <charset val="1"/>
      </rPr>
      <t>/</t>
    </r>
    <r>
      <rPr>
        <sz val="9.5"/>
        <color rgb="FF6E7D75"/>
        <rFont val="Noto Sans CJK SC"/>
        <charset val="134"/>
      </rPr>
      <t>分拣明细（分拣管理）</t>
    </r>
  </si>
  <si>
    <t>投框记录</t>
  </si>
  <si>
    <t>投框与投放记录合并展示</t>
  </si>
  <si>
    <r>
      <rPr>
        <sz val="9.5"/>
        <color rgb="FF6E7D75"/>
        <rFont val="Noto Sans CJK SC"/>
        <charset val="134"/>
      </rPr>
      <t>投框记录</t>
    </r>
    <r>
      <rPr>
        <sz val="9.5"/>
        <color rgb="FF6E7D75"/>
        <rFont val="Microsoft YaHei"/>
        <charset val="1"/>
      </rPr>
      <t>/</t>
    </r>
    <r>
      <rPr>
        <sz val="9.5"/>
        <color rgb="FF6E7D75"/>
        <rFont val="Noto Sans CJK SC"/>
        <charset val="134"/>
      </rPr>
      <t>投放记录（投框管理）</t>
    </r>
  </si>
  <si>
    <t>筐码管理</t>
  </si>
  <si>
    <t>筐码与客户绑定，可追溯</t>
  </si>
  <si>
    <t>筐码管理（投框管理）</t>
  </si>
  <si>
    <r>
      <rPr>
        <b/>
        <sz val="10"/>
        <color rgb="FF1C2B24"/>
        <rFont val="Noto Sans CJK SC"/>
        <charset val="134"/>
      </rPr>
      <t>拣货计划</t>
    </r>
    <r>
      <rPr>
        <b/>
        <sz val="10"/>
        <color rgb="FF1C2B24"/>
        <rFont val="Microsoft YaHei"/>
        <charset val="1"/>
      </rPr>
      <t>/</t>
    </r>
    <r>
      <rPr>
        <b/>
        <sz val="10"/>
        <color rgb="FF1C2B24"/>
        <rFont val="Noto Sans CJK SC"/>
        <charset val="134"/>
      </rPr>
      <t>拣货记录</t>
    </r>
  </si>
  <si>
    <t>拣货作业</t>
  </si>
  <si>
    <r>
      <rPr>
        <sz val="9.5"/>
        <color rgb="FF6E7D75"/>
        <rFont val="Noto Sans CJK SC"/>
        <charset val="134"/>
      </rPr>
      <t>拣货计划</t>
    </r>
    <r>
      <rPr>
        <sz val="9.5"/>
        <color rgb="FF6E7D75"/>
        <rFont val="Microsoft YaHei"/>
        <charset val="1"/>
      </rPr>
      <t>/</t>
    </r>
    <r>
      <rPr>
        <sz val="9.5"/>
        <color rgb="FF6E7D75"/>
        <rFont val="Noto Sans CJK SC"/>
        <charset val="134"/>
      </rPr>
      <t>拣货记录（拣货管理）</t>
    </r>
  </si>
  <si>
    <r>
      <rPr>
        <sz val="9.5"/>
        <color rgb="FF6E7D75"/>
        <rFont val="Microsoft YaHei"/>
        <charset val="1"/>
      </rPr>
      <t>Q7</t>
    </r>
    <r>
      <rPr>
        <sz val="9.5"/>
        <color rgb="FF6E7D75"/>
        <rFont val="Noto Sans CJK SC"/>
        <charset val="134"/>
      </rPr>
      <t>：与取货任务</t>
    </r>
    <r>
      <rPr>
        <sz val="9.5"/>
        <color rgb="FF6E7D75"/>
        <rFont val="Microsoft YaHei"/>
        <charset val="1"/>
      </rPr>
      <t>/</t>
    </r>
    <r>
      <rPr>
        <sz val="9.5"/>
        <color rgb="FF6E7D75"/>
        <rFont val="Noto Sans CJK SC"/>
        <charset val="134"/>
      </rPr>
      <t>分解取货关系</t>
    </r>
  </si>
  <si>
    <t>分拣复核</t>
  </si>
  <si>
    <t>出库前复核</t>
  </si>
  <si>
    <t>缺货处理</t>
  </si>
  <si>
    <t>分拣缺货登记</t>
  </si>
  <si>
    <t>配送任务（司机端）</t>
  </si>
  <si>
    <t>任务列表，完成一单点掉一单</t>
  </si>
  <si>
    <t>配送任务（配送管理）</t>
  </si>
  <si>
    <t>简化为基础履约确认</t>
  </si>
  <si>
    <t>司机管理</t>
  </si>
  <si>
    <t>司机档案与账号</t>
  </si>
  <si>
    <t>司机管理（配送管理）</t>
  </si>
  <si>
    <r>
      <rPr>
        <b/>
        <sz val="10"/>
        <color rgb="FF1C2B24"/>
        <rFont val="Noto Sans CJK SC"/>
        <charset val="134"/>
      </rPr>
      <t>签收确认</t>
    </r>
    <r>
      <rPr>
        <b/>
        <sz val="10"/>
        <color rgb="FF1C2B24"/>
        <rFont val="Microsoft YaHei"/>
        <charset val="1"/>
      </rPr>
      <t>/</t>
    </r>
    <r>
      <rPr>
        <b/>
        <sz val="10"/>
        <color rgb="FF1C2B24"/>
        <rFont val="Noto Sans CJK SC"/>
        <charset val="134"/>
      </rPr>
      <t>异常上报</t>
    </r>
  </si>
  <si>
    <t>签收即履约，异常上报</t>
  </si>
  <si>
    <t>配送任务流程内</t>
  </si>
  <si>
    <t>装车确认</t>
  </si>
  <si>
    <t>装车清点</t>
  </si>
  <si>
    <t>配送线路管理</t>
  </si>
  <si>
    <t>线路管理（配送管理）</t>
  </si>
  <si>
    <t>调度中心</t>
  </si>
  <si>
    <t>调度中心（配送进度）</t>
  </si>
  <si>
    <t>复杂调度不做</t>
  </si>
  <si>
    <r>
      <rPr>
        <b/>
        <sz val="10"/>
        <rFont val="Microsoft YaHei"/>
        <charset val="1"/>
      </rPr>
      <t xml:space="preserve">10 </t>
    </r>
    <r>
      <rPr>
        <b/>
        <sz val="10"/>
        <rFont val="Noto Sans CJK SC"/>
        <charset val="134"/>
      </rPr>
      <t>客户中心</t>
    </r>
  </si>
  <si>
    <t>客户建档</t>
  </si>
  <si>
    <r>
      <rPr>
        <sz val="9.5"/>
        <color rgb="FF1C2B24"/>
        <rFont val="Noto Sans CJK SC"/>
        <charset val="134"/>
      </rPr>
      <t>客户信息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类型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收货地址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结算方式</t>
    </r>
  </si>
  <si>
    <t>截图未提供（客户板块待补对照）</t>
  </si>
  <si>
    <r>
      <rPr>
        <sz val="10"/>
        <rFont val="Microsoft YaHei"/>
        <charset val="1"/>
      </rPr>
      <t xml:space="preserve">10 </t>
    </r>
    <r>
      <rPr>
        <sz val="10"/>
        <rFont val="Noto Sans CJK SC"/>
        <charset val="134"/>
      </rPr>
      <t>客户中心</t>
    </r>
  </si>
  <si>
    <t>客户审核</t>
  </si>
  <si>
    <t>建档提交→审核→审批留痕</t>
  </si>
  <si>
    <t>客户标签</t>
  </si>
  <si>
    <t>客户打标（明确保留）</t>
  </si>
  <si>
    <t>客户订单视图</t>
  </si>
  <si>
    <t>按客户聚合订单与履约</t>
  </si>
  <si>
    <t>客户对账</t>
  </si>
  <si>
    <t>客户维度对账单</t>
  </si>
  <si>
    <r>
      <rPr>
        <sz val="9.5"/>
        <color rgb="FF6E7D75"/>
        <rFont val="Noto Sans CJK SC"/>
        <charset val="134"/>
      </rPr>
      <t>客户账单（财务</t>
    </r>
    <r>
      <rPr>
        <sz val="9.5"/>
        <color rgb="FF6E7D75"/>
        <rFont val="Microsoft YaHei"/>
        <charset val="1"/>
      </rPr>
      <t>-</t>
    </r>
    <r>
      <rPr>
        <sz val="9.5"/>
        <color rgb="FF6E7D75"/>
        <rFont val="Noto Sans CJK SC"/>
        <charset val="134"/>
      </rPr>
      <t>客户结算）联动</t>
    </r>
  </si>
  <si>
    <t>客户价格</t>
  </si>
  <si>
    <r>
      <rPr>
        <sz val="9.5"/>
        <color rgb="FF808080"/>
        <rFont val="Noto Sans CJK SC"/>
        <charset val="134"/>
      </rPr>
      <t>客户报价单</t>
    </r>
    <r>
      <rPr>
        <sz val="9.5"/>
        <color rgb="FF808080"/>
        <rFont val="Microsoft YaHei"/>
        <charset val="1"/>
      </rPr>
      <t>/</t>
    </r>
    <r>
      <rPr>
        <sz val="9.5"/>
        <color rgb="FF808080"/>
        <rFont val="Noto Sans CJK SC"/>
        <charset val="134"/>
      </rPr>
      <t>协议价（商品</t>
    </r>
    <r>
      <rPr>
        <sz val="9.5"/>
        <color rgb="FF808080"/>
        <rFont val="Microsoft YaHei"/>
        <charset val="1"/>
      </rPr>
      <t>-</t>
    </r>
    <r>
      <rPr>
        <sz val="9.5"/>
        <color rgb="FF808080"/>
        <rFont val="Noto Sans CJK SC"/>
        <charset val="134"/>
      </rPr>
      <t>价格管理）</t>
    </r>
  </si>
  <si>
    <t>价格体系整套裁剪</t>
  </si>
  <si>
    <r>
      <rPr>
        <b/>
        <strike/>
        <sz val="10"/>
        <color rgb="FF808080"/>
        <rFont val="Noto Sans CJK SC"/>
        <charset val="134"/>
      </rPr>
      <t>客户邀请码</t>
    </r>
    <r>
      <rPr>
        <b/>
        <strike/>
        <sz val="10"/>
        <color rgb="FF808080"/>
        <rFont val="Microsoft YaHei"/>
        <charset val="1"/>
      </rPr>
      <t>/</t>
    </r>
    <r>
      <rPr>
        <b/>
        <strike/>
        <sz val="10"/>
        <color rgb="FF808080"/>
        <rFont val="Noto Sans CJK SC"/>
        <charset val="134"/>
      </rPr>
      <t>子账号</t>
    </r>
    <r>
      <rPr>
        <b/>
        <strike/>
        <sz val="10"/>
        <color rgb="FF808080"/>
        <rFont val="Microsoft YaHei"/>
        <charset val="1"/>
      </rPr>
      <t>/</t>
    </r>
    <r>
      <rPr>
        <b/>
        <strike/>
        <sz val="10"/>
        <color rgb="FF808080"/>
        <rFont val="Noto Sans CJK SC"/>
        <charset val="134"/>
      </rPr>
      <t>商品属性</t>
    </r>
  </si>
  <si>
    <r>
      <rPr>
        <b/>
        <sz val="10"/>
        <rFont val="Microsoft YaHei"/>
        <charset val="1"/>
      </rPr>
      <t xml:space="preserve">11 </t>
    </r>
    <r>
      <rPr>
        <b/>
        <sz val="10"/>
        <rFont val="Noto Sans CJK SC"/>
        <charset val="134"/>
      </rPr>
      <t>财务中心</t>
    </r>
  </si>
  <si>
    <t>客户结算（应收）</t>
  </si>
  <si>
    <t>客户账单＋客户结款</t>
  </si>
  <si>
    <r>
      <rPr>
        <sz val="9.5"/>
        <color rgb="FF6E7D75"/>
        <rFont val="Noto Sans CJK SC"/>
        <charset val="134"/>
      </rPr>
      <t>客户账单</t>
    </r>
    <r>
      <rPr>
        <sz val="9.5"/>
        <color rgb="FF6E7D75"/>
        <rFont val="Microsoft YaHei"/>
        <charset val="1"/>
      </rPr>
      <t>/</t>
    </r>
    <r>
      <rPr>
        <sz val="9.5"/>
        <color rgb="FF6E7D75"/>
        <rFont val="Noto Sans CJK SC"/>
        <charset val="134"/>
      </rPr>
      <t>客户结款（客户结算）</t>
    </r>
  </si>
  <si>
    <r>
      <rPr>
        <sz val="10"/>
        <rFont val="Microsoft YaHei"/>
        <charset val="1"/>
      </rPr>
      <t xml:space="preserve">11 </t>
    </r>
    <r>
      <rPr>
        <sz val="10"/>
        <rFont val="Noto Sans CJK SC"/>
        <charset val="134"/>
      </rPr>
      <t>财务中心</t>
    </r>
  </si>
  <si>
    <t>结款凭证</t>
  </si>
  <si>
    <t>结款凭证留档</t>
  </si>
  <si>
    <t>结款凭证（客户结算）</t>
  </si>
  <si>
    <t>供应商结算（应付）</t>
  </si>
  <si>
    <t>含供应商对账；结款审批后闭环</t>
  </si>
  <si>
    <r>
      <rPr>
        <sz val="9.5"/>
        <color rgb="FF6E7D75"/>
        <rFont val="Noto Sans CJK SC"/>
        <charset val="134"/>
      </rPr>
      <t>供应商对账</t>
    </r>
    <r>
      <rPr>
        <sz val="9.5"/>
        <color rgb="FF6E7D75"/>
        <rFont val="Microsoft YaHei"/>
        <charset val="1"/>
      </rPr>
      <t>(</t>
    </r>
    <r>
      <rPr>
        <sz val="9.5"/>
        <color rgb="FF6E7D75"/>
        <rFont val="Noto Sans CJK SC"/>
        <charset val="134"/>
      </rPr>
      <t>新仓储</t>
    </r>
    <r>
      <rPr>
        <sz val="9.5"/>
        <color rgb="FF6E7D75"/>
        <rFont val="Microsoft YaHei"/>
        <charset val="1"/>
      </rPr>
      <t>)</t>
    </r>
    <r>
      <rPr>
        <sz val="9.5"/>
        <color rgb="FF6E7D75"/>
        <rFont val="Noto Sans CJK SC"/>
        <charset val="134"/>
      </rPr>
      <t>＋库存</t>
    </r>
    <r>
      <rPr>
        <sz val="9.5"/>
        <color rgb="FF6E7D75"/>
        <rFont val="Microsoft YaHei"/>
        <charset val="1"/>
      </rPr>
      <t>-</t>
    </r>
    <r>
      <rPr>
        <sz val="9.5"/>
        <color rgb="FF6E7D75"/>
        <rFont val="Noto Sans CJK SC"/>
        <charset val="134"/>
      </rPr>
      <t>对账单</t>
    </r>
    <r>
      <rPr>
        <sz val="9.5"/>
        <color rgb="FF6E7D75"/>
        <rFont val="Microsoft YaHei"/>
        <charset val="1"/>
      </rPr>
      <t>-</t>
    </r>
    <r>
      <rPr>
        <sz val="9.5"/>
        <color rgb="FF6E7D75"/>
        <rFont val="Noto Sans CJK SC"/>
        <charset val="134"/>
      </rPr>
      <t>供应商对账</t>
    </r>
  </si>
  <si>
    <t>会议明确归财务</t>
  </si>
  <si>
    <r>
      <rPr>
        <b/>
        <sz val="10"/>
        <color rgb="FF1C2B24"/>
        <rFont val="Noto Sans CJK SC"/>
        <charset val="134"/>
      </rPr>
      <t>费用单</t>
    </r>
    <r>
      <rPr>
        <b/>
        <sz val="10"/>
        <color rgb="FF1C2B24"/>
        <rFont val="Microsoft YaHei"/>
        <charset val="1"/>
      </rPr>
      <t>/</t>
    </r>
    <r>
      <rPr>
        <b/>
        <sz val="10"/>
        <color rgb="FF1C2B24"/>
        <rFont val="Noto Sans CJK SC"/>
        <charset val="134"/>
      </rPr>
      <t>收入单</t>
    </r>
  </si>
  <si>
    <t>杂项费用与收入登记</t>
  </si>
  <si>
    <r>
      <rPr>
        <sz val="9.5"/>
        <color rgb="FF6E7D75"/>
        <rFont val="Noto Sans CJK SC"/>
        <charset val="134"/>
      </rPr>
      <t>费用单</t>
    </r>
    <r>
      <rPr>
        <sz val="9.5"/>
        <color rgb="FF6E7D75"/>
        <rFont val="Microsoft YaHei"/>
        <charset val="1"/>
      </rPr>
      <t>/</t>
    </r>
    <r>
      <rPr>
        <sz val="9.5"/>
        <color rgb="FF6E7D75"/>
        <rFont val="Noto Sans CJK SC"/>
        <charset val="134"/>
      </rPr>
      <t>收入单（库存</t>
    </r>
    <r>
      <rPr>
        <sz val="9.5"/>
        <color rgb="FF6E7D75"/>
        <rFont val="Microsoft YaHei"/>
        <charset val="1"/>
      </rPr>
      <t>-</t>
    </r>
    <r>
      <rPr>
        <sz val="9.5"/>
        <color rgb="FF6E7D75"/>
        <rFont val="Noto Sans CJK SC"/>
        <charset val="134"/>
      </rPr>
      <t>对账单）</t>
    </r>
  </si>
  <si>
    <r>
      <rPr>
        <sz val="9.5"/>
        <color rgb="FF6E7D75"/>
        <rFont val="Noto Sans CJK SC"/>
        <charset val="134"/>
      </rPr>
      <t>会议未提；建议归财务</t>
    </r>
    <r>
      <rPr>
        <sz val="9.5"/>
        <color rgb="FF6E7D75"/>
        <rFont val="Microsoft YaHei"/>
        <charset val="1"/>
      </rPr>
      <t>P1</t>
    </r>
    <r>
      <rPr>
        <sz val="9.5"/>
        <color rgb="FF6E7D75"/>
        <rFont val="Noto Sans CJK SC"/>
        <charset val="134"/>
      </rPr>
      <t>或裁剪</t>
    </r>
  </si>
  <si>
    <r>
      <rPr>
        <b/>
        <sz val="10"/>
        <color rgb="FF1C2B24"/>
        <rFont val="Noto Sans CJK SC"/>
        <charset val="134"/>
      </rPr>
      <t>收款</t>
    </r>
    <r>
      <rPr>
        <b/>
        <sz val="10"/>
        <color rgb="FF1C2B24"/>
        <rFont val="Microsoft YaHei"/>
        <charset val="1"/>
      </rPr>
      <t>/</t>
    </r>
    <r>
      <rPr>
        <b/>
        <sz val="10"/>
        <color rgb="FF1C2B24"/>
        <rFont val="Noto Sans CJK SC"/>
        <charset val="134"/>
      </rPr>
      <t>付款管理</t>
    </r>
  </si>
  <si>
    <t>收付款登记核销</t>
  </si>
  <si>
    <t>毛利核算</t>
  </si>
  <si>
    <r>
      <rPr>
        <sz val="9.5"/>
        <color rgb="FF1C2B24"/>
        <rFont val="Noto Sans CJK SC"/>
        <charset val="134"/>
      </rPr>
      <t>订单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客户毛利</t>
    </r>
  </si>
  <si>
    <t>成本核算</t>
  </si>
  <si>
    <t>生产过程成本核算</t>
  </si>
  <si>
    <r>
      <rPr>
        <sz val="9.5"/>
        <color rgb="FF6E7D75"/>
        <rFont val="Noto Sans CJK SC"/>
        <charset val="134"/>
      </rPr>
      <t>成本核算（库存</t>
    </r>
    <r>
      <rPr>
        <sz val="9.5"/>
        <color rgb="FF6E7D75"/>
        <rFont val="Microsoft YaHei"/>
        <charset val="1"/>
      </rPr>
      <t>-</t>
    </r>
    <r>
      <rPr>
        <sz val="9.5"/>
        <color rgb="FF6E7D75"/>
        <rFont val="Noto Sans CJK SC"/>
        <charset val="134"/>
      </rPr>
      <t>成本管理）</t>
    </r>
  </si>
  <si>
    <t>流水提现</t>
  </si>
  <si>
    <t>平台钱包提现</t>
  </si>
  <si>
    <t>流水提现（结算）</t>
  </si>
  <si>
    <t>平台型功能，自营场景倾向裁剪</t>
  </si>
  <si>
    <t>其他财务功能</t>
  </si>
  <si>
    <t>上述之外全部舍弃</t>
  </si>
  <si>
    <r>
      <rPr>
        <b/>
        <sz val="10"/>
        <rFont val="Microsoft YaHei"/>
        <charset val="1"/>
      </rPr>
      <t xml:space="preserve">12 </t>
    </r>
    <r>
      <rPr>
        <b/>
        <sz val="10"/>
        <rFont val="Noto Sans CJK SC"/>
        <charset val="134"/>
      </rPr>
      <t>报表中心</t>
    </r>
  </si>
  <si>
    <t>销售报表</t>
  </si>
  <si>
    <r>
      <rPr>
        <sz val="9.5"/>
        <color rgb="FF1C2B24"/>
        <rFont val="Noto Sans CJK SC"/>
        <charset val="134"/>
      </rPr>
      <t>综合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商品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客户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客户商品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分类销售五张</t>
    </r>
  </si>
  <si>
    <t>销售报表五项</t>
  </si>
  <si>
    <t>分类销售最后做</t>
  </si>
  <si>
    <r>
      <rPr>
        <sz val="10"/>
        <rFont val="Microsoft YaHei"/>
        <charset val="1"/>
      </rPr>
      <t xml:space="preserve">12 </t>
    </r>
    <r>
      <rPr>
        <sz val="10"/>
        <rFont val="Noto Sans CJK SC"/>
        <charset val="134"/>
      </rPr>
      <t>报表中心</t>
    </r>
  </si>
  <si>
    <t>生产报表</t>
  </si>
  <si>
    <r>
      <rPr>
        <sz val="9.5"/>
        <color rgb="FF1C2B24"/>
        <rFont val="Noto Sans CJK SC"/>
        <charset val="134"/>
      </rPr>
      <t>生产日报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生产报表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出成率报表</t>
    </r>
  </si>
  <si>
    <t>生产报表组</t>
  </si>
  <si>
    <t>员工绩效报表</t>
  </si>
  <si>
    <t>车间绩效统计</t>
  </si>
  <si>
    <t>员工绩效报表（生产报表）</t>
  </si>
  <si>
    <t>财务报表</t>
  </si>
  <si>
    <r>
      <rPr>
        <sz val="9.5"/>
        <color rgb="FF1C2B24"/>
        <rFont val="Noto Sans CJK SC"/>
        <charset val="134"/>
      </rPr>
      <t>应收统计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应付统计</t>
    </r>
  </si>
  <si>
    <r>
      <rPr>
        <sz val="9.5"/>
        <color rgb="FF6E7D75"/>
        <rFont val="Noto Sans CJK SC"/>
        <charset val="134"/>
      </rPr>
      <t>应收统计表</t>
    </r>
    <r>
      <rPr>
        <sz val="9.5"/>
        <color rgb="FF6E7D75"/>
        <rFont val="Microsoft YaHei"/>
        <charset val="1"/>
      </rPr>
      <t>/</t>
    </r>
    <r>
      <rPr>
        <sz val="9.5"/>
        <color rgb="FF6E7D75"/>
        <rFont val="Noto Sans CJK SC"/>
        <charset val="134"/>
      </rPr>
      <t>应付统计表</t>
    </r>
  </si>
  <si>
    <t>仓储报表</t>
  </si>
  <si>
    <r>
      <rPr>
        <sz val="9.5"/>
        <color rgb="FF1C2B24"/>
        <rFont val="Noto Sans CJK SC"/>
        <charset val="134"/>
      </rPr>
      <t>台账汇总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明细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原始明细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日报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商品日报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采购出入库汇总</t>
    </r>
  </si>
  <si>
    <t>库存报表组＋仓储报表组</t>
  </si>
  <si>
    <t>冠麦两处入口重复，合并为一组</t>
  </si>
  <si>
    <t>售后报表</t>
  </si>
  <si>
    <t>售后统计</t>
  </si>
  <si>
    <t>随售后</t>
  </si>
  <si>
    <t>异常数据报表</t>
  </si>
  <si>
    <t>异常数据监控</t>
  </si>
  <si>
    <t>异常数据（异常数据报表）</t>
  </si>
  <si>
    <t>项目点报表</t>
  </si>
  <si>
    <r>
      <rPr>
        <sz val="9.5"/>
        <color rgb="FF1C2B24"/>
        <rFont val="Noto Sans CJK SC"/>
        <charset val="134"/>
      </rPr>
      <t>营业额预估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提审次数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万元成本</t>
    </r>
  </si>
  <si>
    <t>项目点报表三项</t>
  </si>
  <si>
    <r>
      <rPr>
        <sz val="9.5"/>
        <color rgb="FF6E7D75"/>
        <rFont val="Noto Sans CJK SC"/>
        <charset val="134"/>
      </rPr>
      <t>疑属学生餐</t>
    </r>
    <r>
      <rPr>
        <sz val="9.5"/>
        <color rgb="FF6E7D75"/>
        <rFont val="Microsoft YaHei"/>
        <charset val="1"/>
      </rPr>
      <t>/</t>
    </r>
    <r>
      <rPr>
        <sz val="9.5"/>
        <color rgb="FF6E7D75"/>
        <rFont val="Noto Sans CJK SC"/>
        <charset val="134"/>
      </rPr>
      <t>项目点业务，会议定不开展，倾向裁剪</t>
    </r>
  </si>
  <si>
    <t>经营分析</t>
  </si>
  <si>
    <t>多维经营分析看板</t>
  </si>
  <si>
    <r>
      <rPr>
        <b/>
        <strike/>
        <sz val="10"/>
        <color rgb="FF808080"/>
        <rFont val="Noto Sans CJK SC"/>
        <charset val="134"/>
      </rPr>
      <t>宣传</t>
    </r>
    <r>
      <rPr>
        <b/>
        <strike/>
        <sz val="10"/>
        <color rgb="FF808080"/>
        <rFont val="Microsoft YaHei"/>
        <charset val="1"/>
      </rPr>
      <t>/</t>
    </r>
    <r>
      <rPr>
        <b/>
        <strike/>
        <sz val="10"/>
        <color rgb="FF808080"/>
        <rFont val="Noto Sans CJK SC"/>
        <charset val="134"/>
      </rPr>
      <t>营销</t>
    </r>
    <r>
      <rPr>
        <b/>
        <strike/>
        <sz val="10"/>
        <color rgb="FF808080"/>
        <rFont val="Microsoft YaHei"/>
        <charset val="1"/>
      </rPr>
      <t>/</t>
    </r>
    <r>
      <rPr>
        <b/>
        <strike/>
        <sz val="10"/>
        <color rgb="FF808080"/>
        <rFont val="Noto Sans CJK SC"/>
        <charset val="134"/>
      </rPr>
      <t>云店</t>
    </r>
    <r>
      <rPr>
        <b/>
        <strike/>
        <sz val="10"/>
        <color rgb="FF808080"/>
        <rFont val="Microsoft YaHei"/>
        <charset val="1"/>
      </rPr>
      <t>/</t>
    </r>
    <r>
      <rPr>
        <b/>
        <strike/>
        <sz val="10"/>
        <color rgb="FF808080"/>
        <rFont val="Noto Sans CJK SC"/>
        <charset val="134"/>
      </rPr>
      <t>学生餐</t>
    </r>
  </si>
  <si>
    <r>
      <rPr>
        <b/>
        <sz val="10"/>
        <rFont val="Microsoft YaHei"/>
        <charset val="1"/>
      </rPr>
      <t xml:space="preserve">13 </t>
    </r>
    <r>
      <rPr>
        <b/>
        <sz val="10"/>
        <rFont val="Noto Sans CJK SC"/>
        <charset val="134"/>
      </rPr>
      <t>开放平台</t>
    </r>
  </si>
  <si>
    <r>
      <rPr>
        <b/>
        <sz val="10"/>
        <color rgb="FF1C2B24"/>
        <rFont val="Noto Sans CJK SC"/>
        <charset val="134"/>
      </rPr>
      <t>小程序</t>
    </r>
    <r>
      <rPr>
        <b/>
        <sz val="10"/>
        <color rgb="FF1C2B24"/>
        <rFont val="Microsoft YaHei"/>
        <charset val="1"/>
      </rPr>
      <t>/</t>
    </r>
    <r>
      <rPr>
        <b/>
        <sz val="10"/>
        <color rgb="FF1C2B24"/>
        <rFont val="Noto Sans CJK SC"/>
        <charset val="134"/>
      </rPr>
      <t>商城接口</t>
    </r>
  </si>
  <si>
    <t>客户端下单对接</t>
  </si>
  <si>
    <r>
      <rPr>
        <sz val="9.5"/>
        <color rgb="FF6E7D75"/>
        <rFont val="Microsoft YaHei"/>
        <charset val="1"/>
      </rPr>
      <t>MVP</t>
    </r>
    <r>
      <rPr>
        <sz val="9.5"/>
        <color rgb="FF6E7D75"/>
        <rFont val="Noto Sans CJK SC"/>
        <charset val="134"/>
      </rPr>
      <t>仅预留规范占位</t>
    </r>
  </si>
  <si>
    <r>
      <rPr>
        <sz val="10"/>
        <rFont val="Microsoft YaHei"/>
        <charset val="1"/>
      </rPr>
      <t xml:space="preserve">13 </t>
    </r>
    <r>
      <rPr>
        <sz val="10"/>
        <rFont val="Noto Sans CJK SC"/>
        <charset val="134"/>
      </rPr>
      <t>开放平台</t>
    </r>
  </si>
  <si>
    <r>
      <rPr>
        <b/>
        <sz val="10"/>
        <color rgb="FF1C2B24"/>
        <rFont val="Microsoft YaHei"/>
        <charset val="1"/>
      </rPr>
      <t>POS</t>
    </r>
    <r>
      <rPr>
        <b/>
        <sz val="10"/>
        <color rgb="FF1C2B24"/>
        <rFont val="Noto Sans CJK SC"/>
        <charset val="134"/>
      </rPr>
      <t>接口</t>
    </r>
  </si>
  <si>
    <r>
      <rPr>
        <sz val="9.5"/>
        <color rgb="FF1C2B24"/>
        <rFont val="Microsoft YaHei"/>
        <charset val="1"/>
      </rPr>
      <t>POS</t>
    </r>
    <r>
      <rPr>
        <sz val="9.5"/>
        <color rgb="FF1C2B24"/>
        <rFont val="Noto Sans CJK SC"/>
        <charset val="134"/>
      </rPr>
      <t>订单接入</t>
    </r>
  </si>
  <si>
    <r>
      <rPr>
        <b/>
        <sz val="10"/>
        <color rgb="FF1C2B24"/>
        <rFont val="Noto Sans CJK SC"/>
        <charset val="134"/>
      </rPr>
      <t>美团</t>
    </r>
    <r>
      <rPr>
        <b/>
        <sz val="10"/>
        <color rgb="FF1C2B24"/>
        <rFont val="Microsoft YaHei"/>
        <charset val="1"/>
      </rPr>
      <t>/</t>
    </r>
    <r>
      <rPr>
        <b/>
        <sz val="10"/>
        <color rgb="FF1C2B24"/>
        <rFont val="Noto Sans CJK SC"/>
        <charset val="134"/>
      </rPr>
      <t>饿了么接口</t>
    </r>
  </si>
  <si>
    <t>外卖平台接入</t>
  </si>
  <si>
    <t>财务软件接口</t>
  </si>
  <si>
    <r>
      <rPr>
        <sz val="9.5"/>
        <color rgb="FF1C2B24"/>
        <rFont val="Noto Sans CJK SC"/>
        <charset val="134"/>
      </rPr>
      <t>凭证</t>
    </r>
    <r>
      <rPr>
        <sz val="9.5"/>
        <color rgb="FF1C2B24"/>
        <rFont val="Microsoft YaHei"/>
        <charset val="1"/>
      </rPr>
      <t>/</t>
    </r>
    <r>
      <rPr>
        <sz val="9.5"/>
        <color rgb="FF1C2B24"/>
        <rFont val="Noto Sans CJK SC"/>
        <charset val="134"/>
      </rPr>
      <t>应收应付对接</t>
    </r>
  </si>
  <si>
    <t>电子秤接口</t>
  </si>
  <si>
    <t>称重硬件对接</t>
  </si>
  <si>
    <t>打印机接口</t>
  </si>
  <si>
    <t>打印硬件驱动</t>
  </si>
  <si>
    <t>第三方仓配接口</t>
  </si>
  <si>
    <t>外部仓配对接</t>
  </si>
  <si>
    <t>数据同步</t>
  </si>
  <si>
    <t>同步任务管理</t>
  </si>
  <si>
    <r>
      <rPr>
        <b/>
        <sz val="10"/>
        <rFont val="Microsoft YaHei"/>
        <charset val="1"/>
      </rPr>
      <t xml:space="preserve">14 </t>
    </r>
    <r>
      <rPr>
        <b/>
        <sz val="10"/>
        <rFont val="Noto Sans CJK SC"/>
        <charset val="134"/>
      </rPr>
      <t>应用市场</t>
    </r>
  </si>
  <si>
    <r>
      <rPr>
        <b/>
        <sz val="10"/>
        <color rgb="FF1C2B24"/>
        <rFont val="Microsoft YaHei"/>
        <charset val="1"/>
      </rPr>
      <t>AI</t>
    </r>
    <r>
      <rPr>
        <b/>
        <sz val="10"/>
        <color rgb="FF1C2B24"/>
        <rFont val="Noto Sans CJK SC"/>
        <charset val="134"/>
      </rPr>
      <t>销售预测</t>
    </r>
  </si>
  <si>
    <t>按历史销售预估需求</t>
  </si>
  <si>
    <t>并行</t>
  </si>
  <si>
    <t>展厅大屏核心</t>
  </si>
  <si>
    <r>
      <rPr>
        <sz val="10"/>
        <rFont val="Microsoft YaHei"/>
        <charset val="1"/>
      </rPr>
      <t xml:space="preserve">14 </t>
    </r>
    <r>
      <rPr>
        <sz val="10"/>
        <rFont val="Noto Sans CJK SC"/>
        <charset val="134"/>
      </rPr>
      <t>应用市场</t>
    </r>
  </si>
  <si>
    <r>
      <rPr>
        <b/>
        <sz val="10"/>
        <color rgb="FF1C2B24"/>
        <rFont val="Noto Sans CJK SC"/>
        <charset val="134"/>
      </rPr>
      <t>自动生成订单（</t>
    </r>
    <r>
      <rPr>
        <b/>
        <sz val="10"/>
        <color rgb="FF1C2B24"/>
        <rFont val="Microsoft YaHei"/>
        <charset val="1"/>
      </rPr>
      <t>AI</t>
    </r>
    <r>
      <rPr>
        <b/>
        <sz val="10"/>
        <color rgb="FF1C2B24"/>
        <rFont val="Noto Sans CJK SC"/>
        <charset val="134"/>
      </rPr>
      <t>智能订货）</t>
    </r>
  </si>
  <si>
    <r>
      <rPr>
        <sz val="9.5"/>
        <color rgb="FF1C2B24"/>
        <rFont val="Noto Sans CJK SC"/>
        <charset val="134"/>
      </rPr>
      <t>预测一键转订单；</t>
    </r>
    <r>
      <rPr>
        <sz val="9.5"/>
        <color rgb="FF1C2B24"/>
        <rFont val="Microsoft YaHei"/>
        <charset val="1"/>
      </rPr>
      <t>7</t>
    </r>
    <r>
      <rPr>
        <sz val="9.5"/>
        <color rgb="FF1C2B24"/>
        <rFont val="Noto Sans CJK SC"/>
        <charset val="134"/>
      </rPr>
      <t>月底静态</t>
    </r>
    <r>
      <rPr>
        <sz val="9.5"/>
        <color rgb="FF1C2B24"/>
        <rFont val="Microsoft YaHei"/>
        <charset val="1"/>
      </rPr>
      <t>demo</t>
    </r>
    <r>
      <rPr>
        <sz val="9.5"/>
        <color rgb="FF1C2B24"/>
        <rFont val="Noto Sans CJK SC"/>
        <charset val="134"/>
      </rPr>
      <t>上展厅</t>
    </r>
  </si>
  <si>
    <r>
      <rPr>
        <sz val="9.5"/>
        <color rgb="FF6E7D75"/>
        <rFont val="Microsoft YaHei"/>
        <charset val="1"/>
      </rPr>
      <t>07-06</t>
    </r>
    <r>
      <rPr>
        <sz val="9.5"/>
        <color rgb="FF6E7D75"/>
        <rFont val="Noto Sans CJK SC"/>
        <charset val="134"/>
      </rPr>
      <t>待办：</t>
    </r>
    <r>
      <rPr>
        <sz val="9.5"/>
        <color rgb="FF6E7D75"/>
        <rFont val="Microsoft YaHei"/>
        <charset val="1"/>
      </rPr>
      <t>demo</t>
    </r>
    <r>
      <rPr>
        <sz val="9.5"/>
        <color rgb="FF6E7D75"/>
        <rFont val="Noto Sans CJK SC"/>
        <charset val="134"/>
      </rPr>
      <t>发对接人</t>
    </r>
  </si>
  <si>
    <r>
      <rPr>
        <b/>
        <sz val="10"/>
        <color rgb="FF1C2B24"/>
        <rFont val="Microsoft YaHei"/>
        <charset val="1"/>
      </rPr>
      <t>AI</t>
    </r>
    <r>
      <rPr>
        <b/>
        <sz val="10"/>
        <color rgb="FF1C2B24"/>
        <rFont val="Noto Sans CJK SC"/>
        <charset val="134"/>
      </rPr>
      <t>生产排程</t>
    </r>
  </si>
  <si>
    <t>预测驱动排产</t>
  </si>
  <si>
    <r>
      <rPr>
        <b/>
        <sz val="10"/>
        <color rgb="FF1C2B24"/>
        <rFont val="Microsoft YaHei"/>
        <charset val="1"/>
      </rPr>
      <t>AI</t>
    </r>
    <r>
      <rPr>
        <b/>
        <sz val="10"/>
        <color rgb="FF1C2B24"/>
        <rFont val="Noto Sans CJK SC"/>
        <charset val="134"/>
      </rPr>
      <t>成本</t>
    </r>
    <r>
      <rPr>
        <b/>
        <sz val="10"/>
        <color rgb="FF1C2B24"/>
        <rFont val="Microsoft YaHei"/>
        <charset val="1"/>
      </rPr>
      <t>/</t>
    </r>
    <r>
      <rPr>
        <b/>
        <sz val="10"/>
        <color rgb="FF1C2B24"/>
        <rFont val="Noto Sans CJK SC"/>
        <charset val="134"/>
      </rPr>
      <t>经营分析</t>
    </r>
  </si>
  <si>
    <t>成本与经营洞察</t>
  </si>
  <si>
    <r>
      <rPr>
        <b/>
        <sz val="10"/>
        <color rgb="FF1C2B24"/>
        <rFont val="Noto Sans CJK SC"/>
        <charset val="134"/>
      </rPr>
      <t>小程序商城</t>
    </r>
    <r>
      <rPr>
        <b/>
        <sz val="10"/>
        <color rgb="FF1C2B24"/>
        <rFont val="Microsoft YaHei"/>
        <charset val="1"/>
      </rPr>
      <t>/</t>
    </r>
    <r>
      <rPr>
        <b/>
        <sz val="10"/>
        <color rgb="FF1C2B24"/>
        <rFont val="Noto Sans CJK SC"/>
        <charset val="134"/>
      </rPr>
      <t>私域</t>
    </r>
    <r>
      <rPr>
        <b/>
        <sz val="10"/>
        <color rgb="FF1C2B24"/>
        <rFont val="Microsoft YaHei"/>
        <charset val="1"/>
      </rPr>
      <t>/</t>
    </r>
    <r>
      <rPr>
        <b/>
        <sz val="10"/>
        <color rgb="FF1C2B24"/>
        <rFont val="Noto Sans CJK SC"/>
        <charset val="134"/>
      </rPr>
      <t>第三方插件</t>
    </r>
  </si>
  <si>
    <t>插件生态扩展位</t>
  </si>
  <si>
    <t>冠麦板块</t>
  </si>
  <si>
    <t>冠麦分组</t>
  </si>
  <si>
    <t>冠麦功能项</t>
  </si>
  <si>
    <t>新架构去向</t>
  </si>
  <si>
    <t>备注</t>
  </si>
  <si>
    <t>商品</t>
  </si>
  <si>
    <t>商品管理</t>
  </si>
  <si>
    <t>商品列表</t>
  </si>
  <si>
    <r>
      <rPr>
        <sz val="9.5"/>
        <rFont val="Microsoft YaHei"/>
        <charset val="1"/>
      </rPr>
      <t xml:space="preserve">3 </t>
    </r>
    <r>
      <rPr>
        <sz val="9.5"/>
        <rFont val="Noto Sans CJK SC"/>
        <charset val="134"/>
      </rPr>
      <t>商品</t>
    </r>
    <r>
      <rPr>
        <sz val="9.5"/>
        <rFont val="Microsoft YaHei"/>
        <charset val="1"/>
      </rPr>
      <t xml:space="preserve">/BOM · </t>
    </r>
    <r>
      <rPr>
        <sz val="9.5"/>
        <rFont val="Noto Sans CJK SC"/>
        <charset val="134"/>
      </rPr>
      <t>商品档案</t>
    </r>
  </si>
  <si>
    <r>
      <rPr>
        <sz val="9.5"/>
        <rFont val="Microsoft YaHei"/>
        <charset val="1"/>
      </rPr>
      <t xml:space="preserve">3 </t>
    </r>
    <r>
      <rPr>
        <sz val="9.5"/>
        <rFont val="Noto Sans CJK SC"/>
        <charset val="134"/>
      </rPr>
      <t>商品</t>
    </r>
    <r>
      <rPr>
        <sz val="9.5"/>
        <rFont val="Microsoft YaHei"/>
        <charset val="1"/>
      </rPr>
      <t xml:space="preserve">/BOM · </t>
    </r>
    <r>
      <rPr>
        <sz val="9.5"/>
        <rFont val="Noto Sans CJK SC"/>
        <charset val="134"/>
      </rPr>
      <t>组合商品</t>
    </r>
  </si>
  <si>
    <r>
      <rPr>
        <sz val="9.5"/>
        <color rgb="FF6E7D75"/>
        <rFont val="Microsoft YaHei"/>
        <charset val="1"/>
      </rPr>
      <t>07-06</t>
    </r>
    <r>
      <rPr>
        <sz val="9.5"/>
        <color rgb="FF6E7D75"/>
        <rFont val="Noto Sans CJK SC"/>
        <charset val="134"/>
      </rPr>
      <t>会议</t>
    </r>
  </si>
  <si>
    <t>价格管理</t>
  </si>
  <si>
    <t>客户报价单</t>
  </si>
  <si>
    <t>价格体系整套后置</t>
  </si>
  <si>
    <t>客户协议价</t>
  </si>
  <si>
    <t>历史报价</t>
  </si>
  <si>
    <t>商品设置</t>
  </si>
  <si>
    <r>
      <rPr>
        <sz val="9.5"/>
        <rFont val="Microsoft YaHei"/>
        <charset val="1"/>
      </rPr>
      <t xml:space="preserve">3 </t>
    </r>
    <r>
      <rPr>
        <sz val="9.5"/>
        <rFont val="Noto Sans CJK SC"/>
        <charset val="134"/>
      </rPr>
      <t>商品</t>
    </r>
    <r>
      <rPr>
        <sz val="9.5"/>
        <rFont val="Microsoft YaHei"/>
        <charset val="1"/>
      </rPr>
      <t xml:space="preserve">/BOM · </t>
    </r>
    <r>
      <rPr>
        <sz val="9.5"/>
        <rFont val="Noto Sans CJK SC"/>
        <charset val="134"/>
      </rPr>
      <t>商品分类</t>
    </r>
  </si>
  <si>
    <r>
      <rPr>
        <sz val="9.5"/>
        <rFont val="Microsoft YaHei"/>
        <charset val="1"/>
      </rPr>
      <t xml:space="preserve">3 </t>
    </r>
    <r>
      <rPr>
        <sz val="9.5"/>
        <rFont val="Noto Sans CJK SC"/>
        <charset val="134"/>
      </rPr>
      <t>商品</t>
    </r>
    <r>
      <rPr>
        <sz val="9.5"/>
        <rFont val="Microsoft YaHei"/>
        <charset val="1"/>
      </rPr>
      <t xml:space="preserve">/BOM · </t>
    </r>
    <r>
      <rPr>
        <sz val="9.5"/>
        <rFont val="Noto Sans CJK SC"/>
        <charset val="134"/>
      </rPr>
      <t>商品税率</t>
    </r>
  </si>
  <si>
    <t>订单</t>
  </si>
  <si>
    <t>订单管理</t>
  </si>
  <si>
    <r>
      <rPr>
        <sz val="9.5"/>
        <rFont val="Microsoft YaHei"/>
        <charset val="1"/>
      </rPr>
      <t xml:space="preserve">4 </t>
    </r>
    <r>
      <rPr>
        <sz val="9.5"/>
        <rFont val="Noto Sans CJK SC"/>
        <charset val="134"/>
      </rPr>
      <t xml:space="preserve">订单中心 </t>
    </r>
    <r>
      <rPr>
        <sz val="9.5"/>
        <rFont val="Microsoft YaHei"/>
        <charset val="1"/>
      </rPr>
      <t xml:space="preserve">· </t>
    </r>
    <r>
      <rPr>
        <sz val="9.5"/>
        <rFont val="Noto Sans CJK SC"/>
        <charset val="134"/>
      </rPr>
      <t>订单列表</t>
    </r>
    <r>
      <rPr>
        <sz val="9.5"/>
        <rFont val="Microsoft YaHei"/>
        <charset val="1"/>
      </rPr>
      <t>/</t>
    </r>
    <r>
      <rPr>
        <sz val="9.5"/>
        <rFont val="Noto Sans CJK SC"/>
        <charset val="134"/>
      </rPr>
      <t>录入</t>
    </r>
    <r>
      <rPr>
        <sz val="9.5"/>
        <rFont val="Microsoft YaHei"/>
        <charset val="1"/>
      </rPr>
      <t>/</t>
    </r>
    <r>
      <rPr>
        <sz val="9.5"/>
        <rFont val="Noto Sans CJK SC"/>
        <charset val="134"/>
      </rPr>
      <t>导入</t>
    </r>
  </si>
  <si>
    <r>
      <rPr>
        <sz val="9.5"/>
        <rFont val="Microsoft YaHei"/>
        <charset val="1"/>
      </rPr>
      <t xml:space="preserve">4 </t>
    </r>
    <r>
      <rPr>
        <sz val="9.5"/>
        <rFont val="Noto Sans CJK SC"/>
        <charset val="134"/>
      </rPr>
      <t xml:space="preserve">订单中心 </t>
    </r>
    <r>
      <rPr>
        <sz val="9.5"/>
        <rFont val="Microsoft YaHei"/>
        <charset val="1"/>
      </rPr>
      <t xml:space="preserve">· </t>
    </r>
    <r>
      <rPr>
        <sz val="9.5"/>
        <rFont val="Noto Sans CJK SC"/>
        <charset val="134"/>
      </rPr>
      <t>预订单</t>
    </r>
  </si>
  <si>
    <r>
      <rPr>
        <sz val="9.5"/>
        <rFont val="Microsoft YaHei"/>
        <charset val="1"/>
      </rPr>
      <t xml:space="preserve">4 </t>
    </r>
    <r>
      <rPr>
        <sz val="9.5"/>
        <rFont val="Noto Sans CJK SC"/>
        <charset val="134"/>
      </rPr>
      <t xml:space="preserve">订单中心 </t>
    </r>
    <r>
      <rPr>
        <sz val="9.5"/>
        <rFont val="Microsoft YaHei"/>
        <charset val="1"/>
      </rPr>
      <t xml:space="preserve">· </t>
    </r>
    <r>
      <rPr>
        <sz val="9.5"/>
        <rFont val="Noto Sans CJK SC"/>
        <charset val="134"/>
      </rPr>
      <t>套账数据</t>
    </r>
  </si>
  <si>
    <r>
      <rPr>
        <sz val="9.5"/>
        <rFont val="Microsoft YaHei"/>
        <charset val="1"/>
      </rPr>
      <t xml:space="preserve">4 </t>
    </r>
    <r>
      <rPr>
        <sz val="9.5"/>
        <rFont val="Noto Sans CJK SC"/>
        <charset val="134"/>
      </rPr>
      <t xml:space="preserve">订单中心 </t>
    </r>
    <r>
      <rPr>
        <sz val="9.5"/>
        <rFont val="Microsoft YaHei"/>
        <charset val="1"/>
      </rPr>
      <t xml:space="preserve">· </t>
    </r>
    <r>
      <rPr>
        <sz val="9.5"/>
        <rFont val="Noto Sans CJK SC"/>
        <charset val="134"/>
      </rPr>
      <t>订单审核</t>
    </r>
  </si>
  <si>
    <r>
      <rPr>
        <sz val="9.5"/>
        <rFont val="Microsoft YaHei"/>
        <charset val="1"/>
      </rPr>
      <t xml:space="preserve">4 </t>
    </r>
    <r>
      <rPr>
        <sz val="9.5"/>
        <rFont val="Noto Sans CJK SC"/>
        <charset val="134"/>
      </rPr>
      <t xml:space="preserve">订单中心 </t>
    </r>
    <r>
      <rPr>
        <sz val="9.5"/>
        <rFont val="Microsoft YaHei"/>
        <charset val="1"/>
      </rPr>
      <t xml:space="preserve">· </t>
    </r>
    <r>
      <rPr>
        <sz val="9.5"/>
        <rFont val="Noto Sans CJK SC"/>
        <charset val="134"/>
      </rPr>
      <t>订单对账→转财务</t>
    </r>
  </si>
  <si>
    <t>售后</t>
  </si>
  <si>
    <r>
      <rPr>
        <sz val="9.5"/>
        <rFont val="Microsoft YaHei"/>
        <charset val="1"/>
      </rPr>
      <t xml:space="preserve">4 </t>
    </r>
    <r>
      <rPr>
        <sz val="9.5"/>
        <rFont val="Noto Sans CJK SC"/>
        <charset val="134"/>
      </rPr>
      <t xml:space="preserve">订单中心 </t>
    </r>
    <r>
      <rPr>
        <sz val="9.5"/>
        <rFont val="Microsoft YaHei"/>
        <charset val="1"/>
      </rPr>
      <t xml:space="preserve">· </t>
    </r>
    <r>
      <rPr>
        <sz val="9.5"/>
        <rFont val="Noto Sans CJK SC"/>
        <charset val="134"/>
      </rPr>
      <t>售后列表</t>
    </r>
  </si>
  <si>
    <t>暂缓后做</t>
  </si>
  <si>
    <t>取货任务</t>
  </si>
  <si>
    <r>
      <rPr>
        <sz val="9.5"/>
        <rFont val="Microsoft YaHei"/>
        <charset val="1"/>
      </rPr>
      <t xml:space="preserve">9 </t>
    </r>
    <r>
      <rPr>
        <sz val="9.5"/>
        <rFont val="Noto Sans CJK SC"/>
        <charset val="134"/>
      </rPr>
      <t xml:space="preserve">分拣配送 </t>
    </r>
    <r>
      <rPr>
        <sz val="9.5"/>
        <rFont val="Microsoft YaHei"/>
        <charset val="1"/>
      </rPr>
      <t xml:space="preserve">· </t>
    </r>
    <r>
      <rPr>
        <sz val="9.5"/>
        <rFont val="Noto Sans CJK SC"/>
        <charset val="134"/>
      </rPr>
      <t>拣货</t>
    </r>
  </si>
  <si>
    <r>
      <rPr>
        <sz val="9.5"/>
        <color rgb="FF6E7D75"/>
        <rFont val="Microsoft YaHei"/>
        <charset val="1"/>
      </rPr>
      <t xml:space="preserve">Q7 </t>
    </r>
    <r>
      <rPr>
        <sz val="9.5"/>
        <color rgb="FF6E7D75"/>
        <rFont val="Noto Sans CJK SC"/>
        <charset val="134"/>
      </rPr>
      <t>与分解取货关系</t>
    </r>
  </si>
  <si>
    <t>采购</t>
  </si>
  <si>
    <t>采购管理</t>
  </si>
  <si>
    <t>采购计划</t>
  </si>
  <si>
    <r>
      <rPr>
        <sz val="9.5"/>
        <rFont val="Microsoft YaHei"/>
        <charset val="1"/>
      </rPr>
      <t xml:space="preserve">5 </t>
    </r>
    <r>
      <rPr>
        <sz val="9.5"/>
        <rFont val="Noto Sans CJK SC"/>
        <charset val="134"/>
      </rPr>
      <t xml:space="preserve">采购中心 </t>
    </r>
    <r>
      <rPr>
        <sz val="9.5"/>
        <rFont val="Microsoft YaHei"/>
        <charset val="1"/>
      </rPr>
      <t xml:space="preserve">· </t>
    </r>
    <r>
      <rPr>
        <sz val="9.5"/>
        <rFont val="Noto Sans CJK SC"/>
        <charset val="134"/>
      </rPr>
      <t>统一采购单</t>
    </r>
  </si>
  <si>
    <t>三合一</t>
  </si>
  <si>
    <t>补采</t>
  </si>
  <si>
    <r>
      <rPr>
        <sz val="9.5"/>
        <rFont val="Microsoft YaHei"/>
        <charset val="1"/>
      </rPr>
      <t xml:space="preserve">5 · </t>
    </r>
    <r>
      <rPr>
        <sz val="9.5"/>
        <rFont val="Noto Sans CJK SC"/>
        <charset val="134"/>
      </rPr>
      <t>统一采购单</t>
    </r>
  </si>
  <si>
    <r>
      <rPr>
        <sz val="9.5"/>
        <rFont val="Microsoft YaHei"/>
        <charset val="1"/>
      </rPr>
      <t xml:space="preserve">5 · </t>
    </r>
    <r>
      <rPr>
        <sz val="9.5"/>
        <rFont val="Noto Sans CJK SC"/>
        <charset val="134"/>
      </rPr>
      <t>代采单</t>
    </r>
  </si>
  <si>
    <t>会议未提及</t>
  </si>
  <si>
    <t>采购单据</t>
  </si>
  <si>
    <t>采购员</t>
  </si>
  <si>
    <r>
      <rPr>
        <sz val="9.5"/>
        <rFont val="Microsoft YaHei"/>
        <charset val="1"/>
      </rPr>
      <t xml:space="preserve">2 </t>
    </r>
    <r>
      <rPr>
        <sz val="9.5"/>
        <rFont val="Noto Sans CJK SC"/>
        <charset val="134"/>
      </rPr>
      <t xml:space="preserve">基础档案 </t>
    </r>
    <r>
      <rPr>
        <sz val="9.5"/>
        <rFont val="Microsoft YaHei"/>
        <charset val="1"/>
      </rPr>
      <t xml:space="preserve">· </t>
    </r>
    <r>
      <rPr>
        <sz val="9.5"/>
        <rFont val="Noto Sans CJK SC"/>
        <charset val="134"/>
      </rPr>
      <t>员工档案</t>
    </r>
  </si>
  <si>
    <t>角色标识</t>
  </si>
  <si>
    <t>询价记录</t>
  </si>
  <si>
    <t>采购协议价</t>
  </si>
  <si>
    <t>询价单</t>
  </si>
  <si>
    <r>
      <rPr>
        <sz val="9.5"/>
        <rFont val="Microsoft YaHei"/>
        <charset val="1"/>
      </rPr>
      <t xml:space="preserve">5 · </t>
    </r>
    <r>
      <rPr>
        <sz val="9.5"/>
        <rFont val="Noto Sans CJK SC"/>
        <charset val="134"/>
      </rPr>
      <t>结款审批</t>
    </r>
  </si>
  <si>
    <t>采购规则</t>
  </si>
  <si>
    <t>采购计划规则</t>
  </si>
  <si>
    <t>供货比例</t>
  </si>
  <si>
    <t>供应商管理</t>
  </si>
  <si>
    <t>供应商信息</t>
  </si>
  <si>
    <r>
      <rPr>
        <sz val="9.5"/>
        <rFont val="Microsoft YaHei"/>
        <charset val="1"/>
      </rPr>
      <t xml:space="preserve">2 </t>
    </r>
    <r>
      <rPr>
        <sz val="9.5"/>
        <rFont val="Noto Sans CJK SC"/>
        <charset val="134"/>
      </rPr>
      <t xml:space="preserve">基础档案 </t>
    </r>
    <r>
      <rPr>
        <sz val="9.5"/>
        <rFont val="Microsoft YaHei"/>
        <charset val="1"/>
      </rPr>
      <t xml:space="preserve">· </t>
    </r>
    <r>
      <rPr>
        <sz val="9.5"/>
        <rFont val="Noto Sans CJK SC"/>
        <charset val="134"/>
      </rPr>
      <t>供应商档案</t>
    </r>
  </si>
  <si>
    <r>
      <rPr>
        <sz val="9.5"/>
        <rFont val="Microsoft YaHei"/>
        <charset val="1"/>
      </rPr>
      <t xml:space="preserve">5 · </t>
    </r>
    <r>
      <rPr>
        <sz val="9.5"/>
        <rFont val="Noto Sans CJK SC"/>
        <charset val="134"/>
      </rPr>
      <t>检测报告（联动</t>
    </r>
    <r>
      <rPr>
        <sz val="9.5"/>
        <rFont val="Microsoft YaHei"/>
        <charset val="1"/>
      </rPr>
      <t>8</t>
    </r>
    <r>
      <rPr>
        <sz val="9.5"/>
        <rFont val="Noto Sans CJK SC"/>
        <charset val="134"/>
      </rPr>
      <t>质检溯源）</t>
    </r>
  </si>
  <si>
    <t>库存</t>
  </si>
  <si>
    <t>入库管理</t>
  </si>
  <si>
    <t>采购入库单</t>
  </si>
  <si>
    <r>
      <rPr>
        <sz val="9.5"/>
        <rFont val="Microsoft YaHei"/>
        <charset val="1"/>
      </rPr>
      <t xml:space="preserve">6 </t>
    </r>
    <r>
      <rPr>
        <sz val="9.5"/>
        <rFont val="Noto Sans CJK SC"/>
        <charset val="134"/>
      </rPr>
      <t xml:space="preserve">库存中心 </t>
    </r>
    <r>
      <rPr>
        <sz val="9.5"/>
        <rFont val="Microsoft YaHei"/>
        <charset val="1"/>
      </rPr>
      <t xml:space="preserve">· </t>
    </r>
    <r>
      <rPr>
        <sz val="9.5"/>
        <rFont val="Noto Sans CJK SC"/>
        <charset val="134"/>
      </rPr>
      <t>入库单</t>
    </r>
  </si>
  <si>
    <t>销售退货入库单</t>
  </si>
  <si>
    <r>
      <rPr>
        <sz val="9.5"/>
        <rFont val="Microsoft YaHei"/>
        <charset val="1"/>
      </rPr>
      <t xml:space="preserve">6 · </t>
    </r>
    <r>
      <rPr>
        <sz val="9.5"/>
        <rFont val="Noto Sans CJK SC"/>
        <charset val="134"/>
      </rPr>
      <t>退货类单据</t>
    </r>
  </si>
  <si>
    <t>其他入库单</t>
  </si>
  <si>
    <r>
      <rPr>
        <sz val="9.5"/>
        <rFont val="Microsoft YaHei"/>
        <charset val="1"/>
      </rPr>
      <t xml:space="preserve">6 · </t>
    </r>
    <r>
      <rPr>
        <sz val="9.5"/>
        <rFont val="Noto Sans CJK SC"/>
        <charset val="134"/>
      </rPr>
      <t>入库单</t>
    </r>
  </si>
  <si>
    <t>其他退货入库单</t>
  </si>
  <si>
    <t>出库管理</t>
  </si>
  <si>
    <t>采购退货出库单</t>
  </si>
  <si>
    <r>
      <rPr>
        <sz val="9.5"/>
        <color rgb="FF6E7D75"/>
        <rFont val="Noto Sans CJK SC"/>
        <charset val="134"/>
      </rPr>
      <t>建议</t>
    </r>
    <r>
      <rPr>
        <sz val="9.5"/>
        <color rgb="FF6E7D75"/>
        <rFont val="Microsoft YaHei"/>
        <charset val="1"/>
      </rPr>
      <t>P1</t>
    </r>
  </si>
  <si>
    <t>销售出库单</t>
  </si>
  <si>
    <r>
      <rPr>
        <sz val="9.5"/>
        <rFont val="Microsoft YaHei"/>
        <charset val="1"/>
      </rPr>
      <t xml:space="preserve">6 · </t>
    </r>
    <r>
      <rPr>
        <sz val="9.5"/>
        <rFont val="Noto Sans CJK SC"/>
        <charset val="134"/>
      </rPr>
      <t>出库单</t>
    </r>
  </si>
  <si>
    <t>其他出库单</t>
  </si>
  <si>
    <t>其他退货出库单</t>
  </si>
  <si>
    <t>盘点管理</t>
  </si>
  <si>
    <t>盘点任务</t>
  </si>
  <si>
    <r>
      <rPr>
        <sz val="9.5"/>
        <rFont val="Microsoft YaHei"/>
        <charset val="1"/>
      </rPr>
      <t xml:space="preserve">6 · </t>
    </r>
    <r>
      <rPr>
        <sz val="9.5"/>
        <rFont val="Noto Sans CJK SC"/>
        <charset val="134"/>
      </rPr>
      <t>库存盘点</t>
    </r>
  </si>
  <si>
    <t>盘盈单入库单</t>
  </si>
  <si>
    <t>盘亏单出库单</t>
  </si>
  <si>
    <r>
      <rPr>
        <sz val="9.5"/>
        <rFont val="Microsoft YaHei"/>
        <charset val="1"/>
      </rPr>
      <t xml:space="preserve">6 · </t>
    </r>
    <r>
      <rPr>
        <sz val="9.5"/>
        <rFont val="Noto Sans CJK SC"/>
        <charset val="134"/>
      </rPr>
      <t>组装拆卸单</t>
    </r>
  </si>
  <si>
    <t>与组合商品联动</t>
  </si>
  <si>
    <t>调拨任务</t>
  </si>
  <si>
    <t>调拨出库单</t>
  </si>
  <si>
    <t>调拨入库单</t>
  </si>
  <si>
    <t>生产管理</t>
  </si>
  <si>
    <t>领料出库单</t>
  </si>
  <si>
    <r>
      <rPr>
        <sz val="9.5"/>
        <rFont val="Microsoft YaHei"/>
        <charset val="1"/>
      </rPr>
      <t xml:space="preserve">7 </t>
    </r>
    <r>
      <rPr>
        <sz val="9.5"/>
        <rFont val="Noto Sans CJK SC"/>
        <charset val="134"/>
      </rPr>
      <t xml:space="preserve">生产中心 </t>
    </r>
    <r>
      <rPr>
        <sz val="9.5"/>
        <rFont val="Microsoft YaHei"/>
        <charset val="1"/>
      </rPr>
      <t xml:space="preserve">· </t>
    </r>
    <r>
      <rPr>
        <sz val="9.5"/>
        <rFont val="Noto Sans CJK SC"/>
        <charset val="134"/>
      </rPr>
      <t>领料管理</t>
    </r>
  </si>
  <si>
    <t>生产入库单</t>
  </si>
  <si>
    <r>
      <rPr>
        <sz val="9.5"/>
        <rFont val="Microsoft YaHei"/>
        <charset val="1"/>
      </rPr>
      <t xml:space="preserve">7 · </t>
    </r>
    <r>
      <rPr>
        <sz val="9.5"/>
        <rFont val="Noto Sans CJK SC"/>
        <charset val="134"/>
      </rPr>
      <t>产出登记（</t>
    </r>
    <r>
      <rPr>
        <sz val="9.5"/>
        <rFont val="Microsoft YaHei"/>
        <charset val="1"/>
      </rPr>
      <t>RK</t>
    </r>
    <r>
      <rPr>
        <sz val="9.5"/>
        <rFont val="Noto Sans CJK SC"/>
        <charset val="134"/>
      </rPr>
      <t>）</t>
    </r>
  </si>
  <si>
    <t>退料入库单</t>
  </si>
  <si>
    <r>
      <rPr>
        <sz val="9.5"/>
        <rFont val="Microsoft YaHei"/>
        <charset val="1"/>
      </rPr>
      <t xml:space="preserve">7 · </t>
    </r>
    <r>
      <rPr>
        <sz val="9.5"/>
        <rFont val="Noto Sans CJK SC"/>
        <charset val="134"/>
      </rPr>
      <t>退料管理</t>
    </r>
  </si>
  <si>
    <t>上下架管理</t>
  </si>
  <si>
    <t>仓位类</t>
  </si>
  <si>
    <t>移库单</t>
  </si>
  <si>
    <t>成本管理</t>
  </si>
  <si>
    <t>成本调整单</t>
  </si>
  <si>
    <r>
      <rPr>
        <sz val="9.5"/>
        <rFont val="Microsoft YaHei"/>
        <charset val="1"/>
      </rPr>
      <t xml:space="preserve">11 </t>
    </r>
    <r>
      <rPr>
        <sz val="9.5"/>
        <rFont val="Noto Sans CJK SC"/>
        <charset val="134"/>
      </rPr>
      <t xml:space="preserve">财务中心 </t>
    </r>
    <r>
      <rPr>
        <sz val="9.5"/>
        <rFont val="Microsoft YaHei"/>
        <charset val="1"/>
      </rPr>
      <t xml:space="preserve">· </t>
    </r>
    <r>
      <rPr>
        <sz val="9.5"/>
        <rFont val="Noto Sans CJK SC"/>
        <charset val="134"/>
      </rPr>
      <t>成本核算</t>
    </r>
  </si>
  <si>
    <t>Q4</t>
  </si>
  <si>
    <r>
      <rPr>
        <sz val="9.5"/>
        <rFont val="Microsoft YaHei"/>
        <charset val="1"/>
      </rPr>
      <t xml:space="preserve">11 · </t>
    </r>
    <r>
      <rPr>
        <sz val="9.5"/>
        <rFont val="Noto Sans CJK SC"/>
        <charset val="134"/>
      </rPr>
      <t>成本核算</t>
    </r>
  </si>
  <si>
    <t>库存数据</t>
  </si>
  <si>
    <t>库存查询表</t>
  </si>
  <si>
    <r>
      <rPr>
        <sz val="9.5"/>
        <rFont val="Microsoft YaHei"/>
        <charset val="1"/>
      </rPr>
      <t xml:space="preserve">6 · </t>
    </r>
    <r>
      <rPr>
        <sz val="9.5"/>
        <rFont val="Noto Sans CJK SC"/>
        <charset val="134"/>
      </rPr>
      <t>库存查询</t>
    </r>
  </si>
  <si>
    <t>占用库存分布</t>
  </si>
  <si>
    <t>待出库数据分布</t>
  </si>
  <si>
    <t>出入库明细</t>
  </si>
  <si>
    <t>库存报表</t>
  </si>
  <si>
    <t>台账汇总</t>
  </si>
  <si>
    <r>
      <rPr>
        <sz val="9.5"/>
        <rFont val="Microsoft YaHei"/>
        <charset val="1"/>
      </rPr>
      <t xml:space="preserve">12 </t>
    </r>
    <r>
      <rPr>
        <sz val="9.5"/>
        <rFont val="Noto Sans CJK SC"/>
        <charset val="134"/>
      </rPr>
      <t xml:space="preserve">报表中心 </t>
    </r>
    <r>
      <rPr>
        <sz val="9.5"/>
        <rFont val="Microsoft YaHei"/>
        <charset val="1"/>
      </rPr>
      <t xml:space="preserve">· </t>
    </r>
    <r>
      <rPr>
        <sz val="9.5"/>
        <rFont val="Noto Sans CJK SC"/>
        <charset val="134"/>
      </rPr>
      <t>仓储报表</t>
    </r>
  </si>
  <si>
    <t>台账明细</t>
  </si>
  <si>
    <r>
      <rPr>
        <sz val="9.5"/>
        <rFont val="Microsoft YaHei"/>
        <charset val="1"/>
      </rPr>
      <t xml:space="preserve">12 · </t>
    </r>
    <r>
      <rPr>
        <sz val="9.5"/>
        <rFont val="Noto Sans CJK SC"/>
        <charset val="134"/>
      </rPr>
      <t>仓储报表</t>
    </r>
  </si>
  <si>
    <t>原始台账明细</t>
  </si>
  <si>
    <t>采购出入库汇总</t>
  </si>
  <si>
    <t>库存日报</t>
  </si>
  <si>
    <t>库存商品日报</t>
  </si>
  <si>
    <t>对账单</t>
  </si>
  <si>
    <t>供应商对账</t>
  </si>
  <si>
    <r>
      <rPr>
        <sz val="9.5"/>
        <rFont val="Microsoft YaHei"/>
        <charset val="1"/>
      </rPr>
      <t xml:space="preserve">11 </t>
    </r>
    <r>
      <rPr>
        <sz val="9.5"/>
        <rFont val="Noto Sans CJK SC"/>
        <charset val="134"/>
      </rPr>
      <t xml:space="preserve">财务中心 </t>
    </r>
    <r>
      <rPr>
        <sz val="9.5"/>
        <rFont val="Microsoft YaHei"/>
        <charset val="1"/>
      </rPr>
      <t xml:space="preserve">· </t>
    </r>
    <r>
      <rPr>
        <sz val="9.5"/>
        <rFont val="Noto Sans CJK SC"/>
        <charset val="134"/>
      </rPr>
      <t>供应商结算</t>
    </r>
  </si>
  <si>
    <t>费用单</t>
  </si>
  <si>
    <r>
      <rPr>
        <sz val="9.5"/>
        <rFont val="Microsoft YaHei"/>
        <charset val="1"/>
      </rPr>
      <t xml:space="preserve">11 · </t>
    </r>
    <r>
      <rPr>
        <sz val="9.5"/>
        <rFont val="Noto Sans CJK SC"/>
        <charset val="134"/>
      </rPr>
      <t>费用单</t>
    </r>
    <r>
      <rPr>
        <sz val="9.5"/>
        <rFont val="Microsoft YaHei"/>
        <charset val="1"/>
      </rPr>
      <t>/</t>
    </r>
    <r>
      <rPr>
        <sz val="9.5"/>
        <rFont val="Noto Sans CJK SC"/>
        <charset val="134"/>
      </rPr>
      <t>收入单</t>
    </r>
  </si>
  <si>
    <t>收入单</t>
  </si>
  <si>
    <t>生产</t>
  </si>
  <si>
    <r>
      <rPr>
        <sz val="9.5"/>
        <rFont val="Microsoft YaHei"/>
        <charset val="1"/>
      </rPr>
      <t xml:space="preserve">7 </t>
    </r>
    <r>
      <rPr>
        <sz val="9.5"/>
        <rFont val="Noto Sans CJK SC"/>
        <charset val="134"/>
      </rPr>
      <t xml:space="preserve">生产中心 </t>
    </r>
    <r>
      <rPr>
        <sz val="9.5"/>
        <rFont val="Microsoft YaHei"/>
        <charset val="1"/>
      </rPr>
      <t xml:space="preserve">· </t>
    </r>
    <r>
      <rPr>
        <sz val="9.5"/>
        <rFont val="Noto Sans CJK SC"/>
        <charset val="134"/>
      </rPr>
      <t>生产计划</t>
    </r>
  </si>
  <si>
    <t>去餐次</t>
  </si>
  <si>
    <r>
      <rPr>
        <sz val="9.5"/>
        <rFont val="Microsoft YaHei"/>
        <charset val="1"/>
      </rPr>
      <t xml:space="preserve">7 · </t>
    </r>
    <r>
      <rPr>
        <sz val="9.5"/>
        <rFont val="Noto Sans CJK SC"/>
        <charset val="134"/>
      </rPr>
      <t>领料管理</t>
    </r>
  </si>
  <si>
    <r>
      <rPr>
        <sz val="9.5"/>
        <rFont val="Microsoft YaHei"/>
        <charset val="1"/>
      </rPr>
      <t xml:space="preserve">7 · </t>
    </r>
    <r>
      <rPr>
        <sz val="9.5"/>
        <rFont val="Noto Sans CJK SC"/>
        <charset val="134"/>
      </rPr>
      <t>工序报工</t>
    </r>
  </si>
  <si>
    <r>
      <rPr>
        <sz val="9.5"/>
        <color rgb="FF6E7D75"/>
        <rFont val="Noto Sans CJK SC"/>
        <charset val="134"/>
      </rPr>
      <t>新架构增强为开工</t>
    </r>
    <r>
      <rPr>
        <sz val="9.5"/>
        <color rgb="FF6E7D75"/>
        <rFont val="Microsoft YaHei"/>
        <charset val="1"/>
      </rPr>
      <t>/</t>
    </r>
    <r>
      <rPr>
        <sz val="9.5"/>
        <color rgb="FF6E7D75"/>
        <rFont val="Noto Sans CJK SC"/>
        <charset val="134"/>
      </rPr>
      <t>报工留痕</t>
    </r>
  </si>
  <si>
    <r>
      <rPr>
        <sz val="9.5"/>
        <rFont val="Microsoft YaHei"/>
        <charset val="1"/>
      </rPr>
      <t xml:space="preserve">7 · </t>
    </r>
    <r>
      <rPr>
        <sz val="9.5"/>
        <rFont val="Noto Sans CJK SC"/>
        <charset val="134"/>
      </rPr>
      <t>投料登记</t>
    </r>
    <r>
      <rPr>
        <sz val="9.5"/>
        <rFont val="Microsoft YaHei"/>
        <charset val="1"/>
      </rPr>
      <t>/</t>
    </r>
    <r>
      <rPr>
        <sz val="9.5"/>
        <rFont val="Noto Sans CJK SC"/>
        <charset val="134"/>
      </rPr>
      <t>产出登记</t>
    </r>
  </si>
  <si>
    <t>产出管理</t>
  </si>
  <si>
    <r>
      <rPr>
        <sz val="9.5"/>
        <rFont val="Microsoft YaHei"/>
        <charset val="1"/>
      </rPr>
      <t xml:space="preserve">7 · </t>
    </r>
    <r>
      <rPr>
        <sz val="9.5"/>
        <rFont val="Noto Sans CJK SC"/>
        <charset val="134"/>
      </rPr>
      <t>产出登记</t>
    </r>
  </si>
  <si>
    <r>
      <rPr>
        <sz val="9.5"/>
        <rFont val="Microsoft YaHei"/>
        <charset val="1"/>
      </rPr>
      <t xml:space="preserve">7 · </t>
    </r>
    <r>
      <rPr>
        <sz val="9.5"/>
        <rFont val="Noto Sans CJK SC"/>
        <charset val="134"/>
      </rPr>
      <t>线边仓库存总览</t>
    </r>
  </si>
  <si>
    <r>
      <rPr>
        <sz val="9.5"/>
        <color rgb="FF6E7D75"/>
        <rFont val="Noto Sans CJK SC"/>
        <charset val="134"/>
      </rPr>
      <t>只读</t>
    </r>
    <r>
      <rPr>
        <sz val="9.5"/>
        <color rgb="FF6E7D75"/>
        <rFont val="Microsoft YaHei"/>
        <charset val="1"/>
      </rPr>
      <t>P1</t>
    </r>
  </si>
  <si>
    <r>
      <rPr>
        <sz val="9.5"/>
        <rFont val="Microsoft YaHei"/>
        <charset val="1"/>
      </rPr>
      <t xml:space="preserve">12 </t>
    </r>
    <r>
      <rPr>
        <sz val="9.5"/>
        <rFont val="Noto Sans CJK SC"/>
        <charset val="134"/>
      </rPr>
      <t>报表中心</t>
    </r>
  </si>
  <si>
    <r>
      <rPr>
        <sz val="9.5"/>
        <color rgb="FF6E7D75"/>
        <rFont val="Microsoft YaHei"/>
        <charset val="1"/>
      </rPr>
      <t>BOM</t>
    </r>
    <r>
      <rPr>
        <sz val="9.5"/>
        <color rgb="FF6E7D75"/>
        <rFont val="Noto Sans CJK SC"/>
        <charset val="134"/>
      </rPr>
      <t>管理</t>
    </r>
  </si>
  <si>
    <r>
      <rPr>
        <b/>
        <sz val="10"/>
        <color rgb="FF1C2B24"/>
        <rFont val="Noto Sans CJK SC"/>
        <charset val="134"/>
      </rPr>
      <t>生产</t>
    </r>
    <r>
      <rPr>
        <b/>
        <sz val="10"/>
        <color rgb="FF1C2B24"/>
        <rFont val="Microsoft YaHei"/>
        <charset val="1"/>
      </rPr>
      <t>BOM</t>
    </r>
    <r>
      <rPr>
        <b/>
        <sz val="10"/>
        <color rgb="FF1C2B24"/>
        <rFont val="Noto Sans CJK SC"/>
        <charset val="134"/>
      </rPr>
      <t>管理</t>
    </r>
  </si>
  <si>
    <r>
      <rPr>
        <sz val="9.5"/>
        <rFont val="Microsoft YaHei"/>
        <charset val="1"/>
      </rPr>
      <t xml:space="preserve">3 </t>
    </r>
    <r>
      <rPr>
        <sz val="9.5"/>
        <rFont val="Noto Sans CJK SC"/>
        <charset val="134"/>
      </rPr>
      <t>商品</t>
    </r>
    <r>
      <rPr>
        <sz val="9.5"/>
        <rFont val="Microsoft YaHei"/>
        <charset val="1"/>
      </rPr>
      <t xml:space="preserve">/BOM · </t>
    </r>
    <r>
      <rPr>
        <sz val="9.5"/>
        <rFont val="Noto Sans CJK SC"/>
        <charset val="134"/>
      </rPr>
      <t>生产</t>
    </r>
    <r>
      <rPr>
        <sz val="9.5"/>
        <rFont val="Microsoft YaHei"/>
        <charset val="1"/>
      </rPr>
      <t>BOM</t>
    </r>
    <r>
      <rPr>
        <sz val="9.5"/>
        <rFont val="Noto Sans CJK SC"/>
        <charset val="134"/>
      </rPr>
      <t>维护</t>
    </r>
  </si>
  <si>
    <r>
      <rPr>
        <b/>
        <sz val="10"/>
        <color rgb="FF1C2B24"/>
        <rFont val="Noto Sans CJK SC"/>
        <charset val="134"/>
      </rPr>
      <t>研发</t>
    </r>
    <r>
      <rPr>
        <b/>
        <sz val="10"/>
        <color rgb="FF1C2B24"/>
        <rFont val="Microsoft YaHei"/>
        <charset val="1"/>
      </rPr>
      <t>BOM</t>
    </r>
    <r>
      <rPr>
        <b/>
        <sz val="10"/>
        <color rgb="FF1C2B24"/>
        <rFont val="Noto Sans CJK SC"/>
        <charset val="134"/>
      </rPr>
      <t>管理</t>
    </r>
  </si>
  <si>
    <r>
      <rPr>
        <sz val="9.5"/>
        <rFont val="Microsoft YaHei"/>
        <charset val="1"/>
      </rPr>
      <t xml:space="preserve">3 · </t>
    </r>
    <r>
      <rPr>
        <sz val="9.5"/>
        <rFont val="Noto Sans CJK SC"/>
        <charset val="134"/>
      </rPr>
      <t>研发</t>
    </r>
    <r>
      <rPr>
        <sz val="9.5"/>
        <rFont val="Microsoft YaHei"/>
        <charset val="1"/>
      </rPr>
      <t>BOM</t>
    </r>
  </si>
  <si>
    <t>生产设置</t>
  </si>
  <si>
    <t>工厂模型</t>
  </si>
  <si>
    <r>
      <rPr>
        <sz val="9.5"/>
        <rFont val="Microsoft YaHei"/>
        <charset val="1"/>
      </rPr>
      <t xml:space="preserve">2 </t>
    </r>
    <r>
      <rPr>
        <sz val="9.5"/>
        <rFont val="Noto Sans CJK SC"/>
        <charset val="134"/>
      </rPr>
      <t xml:space="preserve">基础档案 </t>
    </r>
    <r>
      <rPr>
        <sz val="9.5"/>
        <rFont val="Microsoft YaHei"/>
        <charset val="1"/>
      </rPr>
      <t xml:space="preserve">· </t>
    </r>
    <r>
      <rPr>
        <sz val="9.5"/>
        <rFont val="Noto Sans CJK SC"/>
        <charset val="134"/>
      </rPr>
      <t>组织管理</t>
    </r>
  </si>
  <si>
    <r>
      <rPr>
        <sz val="9.5"/>
        <rFont val="Microsoft YaHei"/>
        <charset val="1"/>
      </rPr>
      <t xml:space="preserve">7 · </t>
    </r>
    <r>
      <rPr>
        <sz val="9.5"/>
        <rFont val="Noto Sans CJK SC"/>
        <charset val="134"/>
      </rPr>
      <t>工序管理</t>
    </r>
  </si>
  <si>
    <r>
      <rPr>
        <sz val="9.5"/>
        <rFont val="Microsoft YaHei"/>
        <charset val="1"/>
      </rPr>
      <t xml:space="preserve">3 · </t>
    </r>
    <r>
      <rPr>
        <sz val="9.5"/>
        <rFont val="Noto Sans CJK SC"/>
        <charset val="134"/>
      </rPr>
      <t>商品内标管理</t>
    </r>
  </si>
  <si>
    <t>替代商品</t>
  </si>
  <si>
    <t>生产工具</t>
  </si>
  <si>
    <r>
      <rPr>
        <sz val="9.5"/>
        <rFont val="Microsoft YaHei"/>
        <charset val="1"/>
      </rPr>
      <t xml:space="preserve">7 · </t>
    </r>
    <r>
      <rPr>
        <sz val="9.5"/>
        <rFont val="Noto Sans CJK SC"/>
        <charset val="134"/>
      </rPr>
      <t>打印箱签</t>
    </r>
  </si>
  <si>
    <r>
      <rPr>
        <sz val="9.5"/>
        <color rgb="FF6E7D75"/>
        <rFont val="Noto Sans CJK SC"/>
        <charset val="134"/>
      </rPr>
      <t>建议</t>
    </r>
    <r>
      <rPr>
        <sz val="9.5"/>
        <color rgb="FF6E7D75"/>
        <rFont val="Microsoft YaHei"/>
        <charset val="1"/>
      </rPr>
      <t>P1</t>
    </r>
    <r>
      <rPr>
        <sz val="9.5"/>
        <color rgb="FF6E7D75"/>
        <rFont val="Noto Sans CJK SC"/>
        <charset val="134"/>
      </rPr>
      <t>保留</t>
    </r>
  </si>
  <si>
    <t>质检</t>
  </si>
  <si>
    <r>
      <rPr>
        <sz val="9.5"/>
        <rFont val="Microsoft YaHei"/>
        <charset val="1"/>
      </rPr>
      <t xml:space="preserve">8 </t>
    </r>
    <r>
      <rPr>
        <sz val="9.5"/>
        <rFont val="Noto Sans CJK SC"/>
        <charset val="134"/>
      </rPr>
      <t xml:space="preserve">质检溯源 </t>
    </r>
    <r>
      <rPr>
        <sz val="9.5"/>
        <rFont val="Microsoft YaHei"/>
        <charset val="1"/>
      </rPr>
      <t xml:space="preserve">· </t>
    </r>
    <r>
      <rPr>
        <sz val="9.5"/>
        <rFont val="Noto Sans CJK SC"/>
        <charset val="134"/>
      </rPr>
      <t>质检管理</t>
    </r>
  </si>
  <si>
    <r>
      <rPr>
        <sz val="9.5"/>
        <rFont val="Microsoft YaHei"/>
        <charset val="1"/>
      </rPr>
      <t xml:space="preserve">8 · </t>
    </r>
    <r>
      <rPr>
        <sz val="9.5"/>
        <rFont val="Noto Sans CJK SC"/>
        <charset val="134"/>
      </rPr>
      <t>质检字段管理</t>
    </r>
  </si>
  <si>
    <r>
      <rPr>
        <sz val="9.5"/>
        <rFont val="Microsoft YaHei"/>
        <charset val="1"/>
      </rPr>
      <t xml:space="preserve">8 · </t>
    </r>
    <r>
      <rPr>
        <sz val="9.5"/>
        <rFont val="Noto Sans CJK SC"/>
        <charset val="134"/>
      </rPr>
      <t>质检模板管理</t>
    </r>
  </si>
  <si>
    <r>
      <rPr>
        <sz val="9.5"/>
        <rFont val="Microsoft YaHei"/>
        <charset val="1"/>
      </rPr>
      <t xml:space="preserve">8 · </t>
    </r>
    <r>
      <rPr>
        <sz val="9.5"/>
        <rFont val="Noto Sans CJK SC"/>
        <charset val="134"/>
      </rPr>
      <t>溯源管理</t>
    </r>
  </si>
  <si>
    <t>分拣</t>
  </si>
  <si>
    <t>分拣管理</t>
  </si>
  <si>
    <t>分拣进度</t>
  </si>
  <si>
    <r>
      <rPr>
        <sz val="9.5"/>
        <rFont val="Microsoft YaHei"/>
        <charset val="1"/>
      </rPr>
      <t xml:space="preserve">9 </t>
    </r>
    <r>
      <rPr>
        <sz val="9.5"/>
        <rFont val="Noto Sans CJK SC"/>
        <charset val="134"/>
      </rPr>
      <t xml:space="preserve">分拣配送 </t>
    </r>
    <r>
      <rPr>
        <sz val="9.5"/>
        <rFont val="Microsoft YaHei"/>
        <charset val="1"/>
      </rPr>
      <t xml:space="preserve">· </t>
    </r>
    <r>
      <rPr>
        <sz val="9.5"/>
        <rFont val="Noto Sans CJK SC"/>
        <charset val="134"/>
      </rPr>
      <t>分拣进度</t>
    </r>
  </si>
  <si>
    <t>分拣明细</t>
  </si>
  <si>
    <r>
      <rPr>
        <sz val="9.5"/>
        <rFont val="Microsoft YaHei"/>
        <charset val="1"/>
      </rPr>
      <t xml:space="preserve">9 · </t>
    </r>
    <r>
      <rPr>
        <sz val="9.5"/>
        <rFont val="Noto Sans CJK SC"/>
        <charset val="134"/>
      </rPr>
      <t>分拣明细</t>
    </r>
  </si>
  <si>
    <t>投框管理</t>
  </si>
  <si>
    <r>
      <rPr>
        <sz val="9.5"/>
        <rFont val="Microsoft YaHei"/>
        <charset val="1"/>
      </rPr>
      <t xml:space="preserve">9 · </t>
    </r>
    <r>
      <rPr>
        <sz val="9.5"/>
        <rFont val="Noto Sans CJK SC"/>
        <charset val="134"/>
      </rPr>
      <t>筐码管理</t>
    </r>
  </si>
  <si>
    <r>
      <rPr>
        <sz val="9.5"/>
        <rFont val="Microsoft YaHei"/>
        <charset val="1"/>
      </rPr>
      <t xml:space="preserve">9 · </t>
    </r>
    <r>
      <rPr>
        <sz val="9.5"/>
        <rFont val="Noto Sans CJK SC"/>
        <charset val="134"/>
      </rPr>
      <t>投框记录</t>
    </r>
  </si>
  <si>
    <t>投放记录</t>
  </si>
  <si>
    <t>拣货管理</t>
  </si>
  <si>
    <t>拣货计划</t>
  </si>
  <si>
    <r>
      <rPr>
        <sz val="9.5"/>
        <rFont val="Microsoft YaHei"/>
        <charset val="1"/>
      </rPr>
      <t xml:space="preserve">9 · </t>
    </r>
    <r>
      <rPr>
        <sz val="9.5"/>
        <rFont val="Noto Sans CJK SC"/>
        <charset val="134"/>
      </rPr>
      <t>拣货计划</t>
    </r>
    <r>
      <rPr>
        <sz val="9.5"/>
        <rFont val="Microsoft YaHei"/>
        <charset val="1"/>
      </rPr>
      <t>/</t>
    </r>
    <r>
      <rPr>
        <sz val="9.5"/>
        <rFont val="Noto Sans CJK SC"/>
        <charset val="134"/>
      </rPr>
      <t>记录</t>
    </r>
  </si>
  <si>
    <t>Q7</t>
  </si>
  <si>
    <t>拣货记录</t>
  </si>
  <si>
    <t>配送</t>
  </si>
  <si>
    <t>配送管理</t>
  </si>
  <si>
    <t>配送任务</t>
  </si>
  <si>
    <r>
      <rPr>
        <sz val="9.5"/>
        <rFont val="Microsoft YaHei"/>
        <charset val="1"/>
      </rPr>
      <t xml:space="preserve">9 · </t>
    </r>
    <r>
      <rPr>
        <sz val="9.5"/>
        <rFont val="Noto Sans CJK SC"/>
        <charset val="134"/>
      </rPr>
      <t>配送任务（司机端）</t>
    </r>
  </si>
  <si>
    <t>简化履约确认</t>
  </si>
  <si>
    <r>
      <rPr>
        <sz val="9.5"/>
        <rFont val="Microsoft YaHei"/>
        <charset val="1"/>
      </rPr>
      <t xml:space="preserve">9 · </t>
    </r>
    <r>
      <rPr>
        <sz val="9.5"/>
        <rFont val="Noto Sans CJK SC"/>
        <charset val="134"/>
      </rPr>
      <t>司机管理</t>
    </r>
  </si>
  <si>
    <t>线路管理</t>
  </si>
  <si>
    <t>配送进度</t>
  </si>
  <si>
    <t>复杂调度</t>
  </si>
  <si>
    <t>财务</t>
  </si>
  <si>
    <t>客户结算</t>
  </si>
  <si>
    <t>客户账单</t>
  </si>
  <si>
    <r>
      <rPr>
        <sz val="9.5"/>
        <rFont val="Microsoft YaHei"/>
        <charset val="1"/>
      </rPr>
      <t xml:space="preserve">11 </t>
    </r>
    <r>
      <rPr>
        <sz val="9.5"/>
        <rFont val="Noto Sans CJK SC"/>
        <charset val="134"/>
      </rPr>
      <t xml:space="preserve">财务中心 </t>
    </r>
    <r>
      <rPr>
        <sz val="9.5"/>
        <rFont val="Microsoft YaHei"/>
        <charset val="1"/>
      </rPr>
      <t xml:space="preserve">· </t>
    </r>
    <r>
      <rPr>
        <sz val="9.5"/>
        <rFont val="Noto Sans CJK SC"/>
        <charset val="134"/>
      </rPr>
      <t>客户结算</t>
    </r>
  </si>
  <si>
    <t>客户结款</t>
  </si>
  <si>
    <r>
      <rPr>
        <sz val="9.5"/>
        <rFont val="Microsoft YaHei"/>
        <charset val="1"/>
      </rPr>
      <t xml:space="preserve">11 · </t>
    </r>
    <r>
      <rPr>
        <sz val="9.5"/>
        <rFont val="Noto Sans CJK SC"/>
        <charset val="134"/>
      </rPr>
      <t>客户结算</t>
    </r>
  </si>
  <si>
    <r>
      <rPr>
        <sz val="9.5"/>
        <rFont val="Microsoft YaHei"/>
        <charset val="1"/>
      </rPr>
      <t xml:space="preserve">11 · </t>
    </r>
    <r>
      <rPr>
        <sz val="9.5"/>
        <rFont val="Noto Sans CJK SC"/>
        <charset val="134"/>
      </rPr>
      <t>结款凭证</t>
    </r>
  </si>
  <si>
    <t>供应商结算</t>
  </si>
  <si>
    <r>
      <rPr>
        <b/>
        <sz val="10"/>
        <color rgb="FF1C2B24"/>
        <rFont val="Noto Sans CJK SC"/>
        <charset val="134"/>
      </rPr>
      <t>供应商对账</t>
    </r>
    <r>
      <rPr>
        <b/>
        <sz val="10"/>
        <color rgb="FF1C2B24"/>
        <rFont val="Microsoft YaHei"/>
        <charset val="1"/>
      </rPr>
      <t>(</t>
    </r>
    <r>
      <rPr>
        <b/>
        <sz val="10"/>
        <color rgb="FF1C2B24"/>
        <rFont val="Noto Sans CJK SC"/>
        <charset val="134"/>
      </rPr>
      <t>新仓储</t>
    </r>
    <r>
      <rPr>
        <b/>
        <sz val="10"/>
        <color rgb="FF1C2B24"/>
        <rFont val="Microsoft YaHei"/>
        <charset val="1"/>
      </rPr>
      <t>)</t>
    </r>
  </si>
  <si>
    <r>
      <rPr>
        <sz val="9.5"/>
        <rFont val="Microsoft YaHei"/>
        <charset val="1"/>
      </rPr>
      <t xml:space="preserve">11 · </t>
    </r>
    <r>
      <rPr>
        <sz val="9.5"/>
        <rFont val="Noto Sans CJK SC"/>
        <charset val="134"/>
      </rPr>
      <t>供应商结算</t>
    </r>
  </si>
  <si>
    <t>结算</t>
  </si>
  <si>
    <r>
      <rPr>
        <sz val="9.5"/>
        <rFont val="Microsoft YaHei"/>
        <charset val="1"/>
      </rPr>
      <t xml:space="preserve">11 · </t>
    </r>
    <r>
      <rPr>
        <sz val="9.5"/>
        <rFont val="Noto Sans CJK SC"/>
        <charset val="134"/>
      </rPr>
      <t>流水提现</t>
    </r>
  </si>
  <si>
    <t>平台钱包类，倾向裁剪</t>
  </si>
  <si>
    <t>报表</t>
  </si>
  <si>
    <t>综合销售情况</t>
  </si>
  <si>
    <r>
      <rPr>
        <sz val="9.5"/>
        <rFont val="Microsoft YaHei"/>
        <charset val="1"/>
      </rPr>
      <t xml:space="preserve">12 · </t>
    </r>
    <r>
      <rPr>
        <sz val="9.5"/>
        <rFont val="Noto Sans CJK SC"/>
        <charset val="134"/>
      </rPr>
      <t>销售报表</t>
    </r>
  </si>
  <si>
    <t>商品销售情况</t>
  </si>
  <si>
    <t>客户销售情况</t>
  </si>
  <si>
    <t>客户商品销售情况</t>
  </si>
  <si>
    <t>分类销售情况</t>
  </si>
  <si>
    <t>会议：最后做</t>
  </si>
  <si>
    <t>生产日报</t>
  </si>
  <si>
    <r>
      <rPr>
        <sz val="9.5"/>
        <rFont val="Microsoft YaHei"/>
        <charset val="1"/>
      </rPr>
      <t xml:space="preserve">12 · </t>
    </r>
    <r>
      <rPr>
        <sz val="9.5"/>
        <rFont val="Noto Sans CJK SC"/>
        <charset val="134"/>
      </rPr>
      <t>生产报表</t>
    </r>
  </si>
  <si>
    <t>出成率报表</t>
  </si>
  <si>
    <r>
      <rPr>
        <sz val="9.5"/>
        <rFont val="Microsoft YaHei"/>
        <charset val="1"/>
      </rPr>
      <t xml:space="preserve">12 · </t>
    </r>
    <r>
      <rPr>
        <sz val="9.5"/>
        <rFont val="Noto Sans CJK SC"/>
        <charset val="134"/>
      </rPr>
      <t>员工绩效报表</t>
    </r>
  </si>
  <si>
    <t>应收统计表</t>
  </si>
  <si>
    <r>
      <rPr>
        <sz val="9.5"/>
        <rFont val="Microsoft YaHei"/>
        <charset val="1"/>
      </rPr>
      <t xml:space="preserve">12 · </t>
    </r>
    <r>
      <rPr>
        <sz val="9.5"/>
        <rFont val="Noto Sans CJK SC"/>
        <charset val="134"/>
      </rPr>
      <t>财务报表</t>
    </r>
  </si>
  <si>
    <t>应付统计表</t>
  </si>
  <si>
    <t>与库存报表入口重复</t>
  </si>
  <si>
    <t>仓储日报</t>
  </si>
  <si>
    <t>仓储商品日报</t>
  </si>
  <si>
    <t>营业额预估分析表</t>
  </si>
  <si>
    <r>
      <rPr>
        <sz val="9.5"/>
        <color rgb="FF6E7D75"/>
        <rFont val="Noto Sans CJK SC"/>
        <charset val="134"/>
      </rPr>
      <t>疑学生餐</t>
    </r>
    <r>
      <rPr>
        <sz val="9.5"/>
        <color rgb="FF6E7D75"/>
        <rFont val="Microsoft YaHei"/>
        <charset val="1"/>
      </rPr>
      <t>/</t>
    </r>
    <r>
      <rPr>
        <sz val="9.5"/>
        <color rgb="FF6E7D75"/>
        <rFont val="Noto Sans CJK SC"/>
        <charset val="134"/>
      </rPr>
      <t>项目点业务</t>
    </r>
  </si>
  <si>
    <t>提审次数统计</t>
  </si>
  <si>
    <t>万元成本表</t>
  </si>
  <si>
    <r>
      <rPr>
        <sz val="9.5"/>
        <rFont val="Microsoft YaHei"/>
        <charset val="1"/>
      </rPr>
      <t xml:space="preserve">12 · </t>
    </r>
    <r>
      <rPr>
        <sz val="9.5"/>
        <rFont val="Noto Sans CJK SC"/>
        <charset val="134"/>
      </rPr>
      <t>售后报表</t>
    </r>
  </si>
  <si>
    <r>
      <rPr>
        <sz val="9.5"/>
        <color rgb="FF6E7D75"/>
        <rFont val="Noto Sans CJK SC"/>
        <charset val="134"/>
      </rPr>
      <t>生产报表</t>
    </r>
    <r>
      <rPr>
        <sz val="9.5"/>
        <color rgb="FF6E7D75"/>
        <rFont val="Microsoft YaHei"/>
        <charset val="1"/>
      </rPr>
      <t>(</t>
    </r>
    <r>
      <rPr>
        <sz val="9.5"/>
        <color rgb="FF6E7D75"/>
        <rFont val="Noto Sans CJK SC"/>
        <charset val="134"/>
      </rPr>
      <t>重复</t>
    </r>
    <r>
      <rPr>
        <sz val="9.5"/>
        <color rgb="FF6E7D75"/>
        <rFont val="Microsoft YaHei"/>
        <charset val="1"/>
      </rPr>
      <t>)</t>
    </r>
  </si>
  <si>
    <t>截图重复出现</t>
  </si>
  <si>
    <t>异常数据</t>
  </si>
  <si>
    <r>
      <rPr>
        <sz val="9.5"/>
        <rFont val="Microsoft YaHei"/>
        <charset val="1"/>
      </rPr>
      <t xml:space="preserve">12 · </t>
    </r>
    <r>
      <rPr>
        <sz val="9.5"/>
        <rFont val="Noto Sans CJK SC"/>
        <charset val="134"/>
      </rPr>
      <t>异常数据报表</t>
    </r>
  </si>
  <si>
    <t>功能合计</t>
  </si>
  <si>
    <t>开发范围小计</t>
  </si>
  <si>
    <t>合计</t>
  </si>
  <si>
    <r>
      <rPr>
        <b/>
        <sz val="10.5"/>
        <color rgb="FF0E7A5C"/>
        <rFont val="Noto Sans CJK SC"/>
        <charset val="134"/>
      </rPr>
      <t xml:space="preserve">冠麦功能处置统计（共 </t>
    </r>
    <r>
      <rPr>
        <b/>
        <sz val="10.5"/>
        <color rgb="FF0E7A5C"/>
        <rFont val="Microsoft YaHei"/>
        <charset val="1"/>
      </rPr>
      <t xml:space="preserve">121 </t>
    </r>
    <r>
      <rPr>
        <b/>
        <sz val="10.5"/>
        <color rgb="FF0E7A5C"/>
        <rFont val="Noto Sans CJK SC"/>
        <charset val="134"/>
      </rPr>
      <t>项，来自</t>
    </r>
    <r>
      <rPr>
        <b/>
        <sz val="10.5"/>
        <color rgb="FF0E7A5C"/>
        <rFont val="Microsoft YaHei"/>
        <charset val="1"/>
      </rPr>
      <t>10</t>
    </r>
    <r>
      <rPr>
        <b/>
        <sz val="10.5"/>
        <color rgb="FF0E7A5C"/>
        <rFont val="Noto Sans CJK SC"/>
        <charset val="134"/>
      </rPr>
      <t>张截图）</t>
    </r>
  </si>
  <si>
    <r>
      <rPr>
        <sz val="9.5"/>
        <color rgb="FF6E7D75"/>
        <rFont val="Noto Sans CJK SC"/>
        <charset val="134"/>
      </rPr>
      <t>处置定义：沿用</t>
    </r>
    <r>
      <rPr>
        <sz val="9.5"/>
        <color rgb="FF6E7D75"/>
        <rFont val="Microsoft YaHei"/>
        <charset val="1"/>
      </rPr>
      <t>=</t>
    </r>
    <r>
      <rPr>
        <sz val="9.5"/>
        <color rgb="FF6E7D75"/>
        <rFont val="Noto Sans CJK SC"/>
        <charset val="134"/>
      </rPr>
      <t>直接保留｜合并整合</t>
    </r>
    <r>
      <rPr>
        <sz val="9.5"/>
        <color rgb="FF6E7D75"/>
        <rFont val="Microsoft YaHei"/>
        <charset val="1"/>
      </rPr>
      <t>=</t>
    </r>
    <r>
      <rPr>
        <sz val="9.5"/>
        <color rgb="FF6E7D75"/>
        <rFont val="Noto Sans CJK SC"/>
        <charset val="134"/>
      </rPr>
      <t>多项合一｜移位归并</t>
    </r>
    <r>
      <rPr>
        <sz val="9.5"/>
        <color rgb="FF6E7D75"/>
        <rFont val="Microsoft YaHei"/>
        <charset val="1"/>
      </rPr>
      <t>=</t>
    </r>
    <r>
      <rPr>
        <sz val="9.5"/>
        <color rgb="FF6E7D75"/>
        <rFont val="Noto Sans CJK SC"/>
        <charset val="134"/>
      </rPr>
      <t>换模块归属｜裁剪</t>
    </r>
    <r>
      <rPr>
        <sz val="9.5"/>
        <color rgb="FF6E7D75"/>
        <rFont val="Microsoft YaHei"/>
        <charset val="1"/>
      </rPr>
      <t>=07-06</t>
    </r>
    <r>
      <rPr>
        <sz val="9.5"/>
        <color rgb="FF6E7D75"/>
        <rFont val="Noto Sans CJK SC"/>
        <charset val="134"/>
      </rPr>
      <t>会议已定不做｜延后</t>
    </r>
    <r>
      <rPr>
        <sz val="9.5"/>
        <color rgb="FF6E7D75"/>
        <rFont val="Microsoft YaHei"/>
        <charset val="1"/>
      </rPr>
      <t>=P2</t>
    </r>
    <r>
      <rPr>
        <sz val="9.5"/>
        <color rgb="FF6E7D75"/>
        <rFont val="Noto Sans CJK SC"/>
        <charset val="134"/>
      </rPr>
      <t>后置｜待确认</t>
    </r>
    <r>
      <rPr>
        <sz val="9.5"/>
        <color rgb="FF6E7D75"/>
        <rFont val="Microsoft YaHei"/>
        <charset val="1"/>
      </rPr>
      <t>=</t>
    </r>
    <r>
      <rPr>
        <sz val="9.5"/>
        <color rgb="FF6E7D75"/>
        <rFont val="Noto Sans CJK SC"/>
        <charset val="134"/>
      </rPr>
      <t>会议未提或口径矛盾，进拍板清单</t>
    </r>
  </si>
  <si>
    <r>
      <rPr>
        <sz val="9.5"/>
        <color rgb="FF6E7D75"/>
        <rFont val="Noto Sans CJK SC"/>
        <charset val="134"/>
      </rPr>
      <t>本版新发现待拍板项（冠麦有、会议未提）：代采单、组装拆卸单、退料管理、研发</t>
    </r>
    <r>
      <rPr>
        <sz val="9.5"/>
        <color rgb="FF6E7D75"/>
        <rFont val="Microsoft YaHei"/>
        <charset val="1"/>
      </rPr>
      <t>BOM</t>
    </r>
    <r>
      <rPr>
        <sz val="9.5"/>
        <color rgb="FF6E7D75"/>
        <rFont val="Noto Sans CJK SC"/>
        <charset val="134"/>
      </rPr>
      <t>、商品内标、打印箱签、拣货计划</t>
    </r>
    <r>
      <rPr>
        <sz val="9.5"/>
        <color rgb="FF6E7D75"/>
        <rFont val="Microsoft YaHei"/>
        <charset val="1"/>
      </rPr>
      <t>/</t>
    </r>
    <r>
      <rPr>
        <sz val="9.5"/>
        <color rgb="FF6E7D75"/>
        <rFont val="Noto Sans CJK SC"/>
        <charset val="134"/>
      </rPr>
      <t>记录、费用单</t>
    </r>
    <r>
      <rPr>
        <sz val="9.5"/>
        <color rgb="FF6E7D75"/>
        <rFont val="Microsoft YaHei"/>
        <charset val="1"/>
      </rPr>
      <t>/</t>
    </r>
    <r>
      <rPr>
        <sz val="9.5"/>
        <color rgb="FF6E7D75"/>
        <rFont val="Noto Sans CJK SC"/>
        <charset val="134"/>
      </rPr>
      <t>收入单、流水提现、项目点报表、占用</t>
    </r>
    <r>
      <rPr>
        <sz val="9.5"/>
        <color rgb="FF6E7D75"/>
        <rFont val="Microsoft YaHei"/>
        <charset val="1"/>
      </rPr>
      <t>/</t>
    </r>
    <r>
      <rPr>
        <sz val="9.5"/>
        <color rgb="FF6E7D75"/>
        <rFont val="Noto Sans CJK SC"/>
        <charset val="134"/>
      </rPr>
      <t>待出库分布、退货类单据</t>
    </r>
  </si>
  <si>
    <r>
      <rPr>
        <sz val="9.5"/>
        <color rgb="FF6E7D75"/>
        <rFont val="Noto Sans CJK SC"/>
        <charset val="134"/>
      </rPr>
      <t>冠麦截图缺失板块：基础档案</t>
    </r>
    <r>
      <rPr>
        <sz val="9.5"/>
        <color rgb="FF6E7D75"/>
        <rFont val="Microsoft YaHei"/>
        <charset val="1"/>
      </rPr>
      <t>/</t>
    </r>
    <r>
      <rPr>
        <sz val="9.5"/>
        <color rgb="FF6E7D75"/>
        <rFont val="Noto Sans CJK SC"/>
        <charset val="134"/>
      </rPr>
      <t>系统设置、权限、客户——对照待补，相关行标注“截图未提供”</t>
    </r>
  </si>
  <si>
    <r>
      <rPr>
        <sz val="9.5"/>
        <color rgb="FF6E7D75"/>
        <rFont val="Noto Sans CJK SC"/>
        <charset val="134"/>
      </rPr>
      <t>口径来源：</t>
    </r>
    <r>
      <rPr>
        <sz val="9.5"/>
        <color rgb="FF6E7D75"/>
        <rFont val="Microsoft YaHei"/>
        <charset val="1"/>
      </rPr>
      <t>07-06</t>
    </r>
    <r>
      <rPr>
        <sz val="9.5"/>
        <color rgb="FF6E7D75"/>
        <rFont val="Noto Sans CJK SC"/>
        <charset val="134"/>
      </rPr>
      <t>会议纪要、</t>
    </r>
    <r>
      <rPr>
        <sz val="9.5"/>
        <color rgb="FF6E7D75"/>
        <rFont val="Microsoft YaHei"/>
        <charset val="1"/>
      </rPr>
      <t>PRD v0.9</t>
    </r>
    <r>
      <rPr>
        <sz val="9.5"/>
        <color rgb="FF6E7D75"/>
        <rFont val="Noto Sans CJK SC"/>
        <charset val="134"/>
      </rPr>
      <t>、冠麦系统截图（</t>
    </r>
    <r>
      <rPr>
        <sz val="9.5"/>
        <color rgb="FF6E7D75"/>
        <rFont val="Microsoft YaHei"/>
        <charset val="1"/>
      </rPr>
      <t>2026-07-09</t>
    </r>
    <r>
      <rPr>
        <sz val="9.5"/>
        <color rgb="FF6E7D75"/>
        <rFont val="Noto Sans CJK SC"/>
        <charset val="134"/>
      </rPr>
      <t>提供）；</t>
    </r>
    <r>
      <rPr>
        <sz val="9.5"/>
        <color rgb="FF6E7D75"/>
        <rFont val="Microsoft YaHei"/>
        <charset val="1"/>
      </rPr>
      <t>Q</t>
    </r>
    <r>
      <rPr>
        <sz val="9.5"/>
        <color rgb="FF6E7D75"/>
        <rFont val="Noto Sans CJK SC"/>
        <charset val="134"/>
      </rPr>
      <t>编号见</t>
    </r>
    <r>
      <rPr>
        <sz val="9.5"/>
        <color rgb="FF6E7D75"/>
        <rFont val="Microsoft YaHei"/>
        <charset val="1"/>
      </rPr>
      <t>PRD</t>
    </r>
    <r>
      <rPr>
        <sz val="9.5"/>
        <color rgb="FF6E7D75"/>
        <rFont val="Noto Sans CJK SC"/>
        <charset val="134"/>
      </rPr>
      <t>第</t>
    </r>
    <r>
      <rPr>
        <sz val="9.5"/>
        <color rgb="FF6E7D75"/>
        <rFont val="Microsoft YaHei"/>
        <charset val="1"/>
      </rPr>
      <t>7</t>
    </r>
    <r>
      <rPr>
        <sz val="9.5"/>
        <color rgb="FF6E7D75"/>
        <rFont val="Noto Sans CJK SC"/>
        <charset val="134"/>
      </rPr>
      <t>章与《第一次产品讨论包》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</si>
</sst>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5">
    <font>
      <sz val="11"/>
      <color theme="1"/>
      <name val="Calibri"/>
      <charset val="1"/>
    </font>
    <font>
      <b/>
      <sz val="10.5"/>
      <color rgb="FFFFFFFF"/>
      <name val="Noto Sans CJK SC"/>
      <charset val="134"/>
    </font>
    <font>
      <b/>
      <sz val="10.5"/>
      <color rgb="FFFFFFFF"/>
      <name val="Microsoft YaHei"/>
      <charset val="1"/>
    </font>
    <font>
      <b/>
      <sz val="10"/>
      <name val="Microsoft YaHei"/>
      <charset val="1"/>
    </font>
    <font>
      <sz val="10"/>
      <name val="Microsoft YaHei"/>
      <charset val="1"/>
    </font>
    <font>
      <b/>
      <sz val="10"/>
      <name val="Noto Sans CJK SC"/>
      <charset val="134"/>
    </font>
    <font>
      <b/>
      <sz val="10.5"/>
      <color rgb="FF0E7A5C"/>
      <name val="Noto Sans CJK SC"/>
      <charset val="134"/>
    </font>
    <font>
      <sz val="9.5"/>
      <color rgb="FF6E7D75"/>
      <name val="Noto Sans CJK SC"/>
      <charset val="134"/>
    </font>
    <font>
      <sz val="9"/>
      <color rgb="FF9AA8A0"/>
      <name val="Microsoft YaHei"/>
      <charset val="1"/>
    </font>
    <font>
      <b/>
      <sz val="10"/>
      <color rgb="FF1C2B24"/>
      <name val="Noto Sans CJK SC"/>
      <charset val="134"/>
    </font>
    <font>
      <sz val="9.5"/>
      <name val="Microsoft YaHei"/>
      <charset val="1"/>
    </font>
    <font>
      <b/>
      <sz val="9.5"/>
      <color rgb="FF0E7A5C"/>
      <name val="Noto Sans CJK SC"/>
      <charset val="134"/>
    </font>
    <font>
      <sz val="9.5"/>
      <color rgb="FF6E7D75"/>
      <name val="Microsoft YaHei"/>
      <charset val="1"/>
    </font>
    <font>
      <sz val="10"/>
      <name val="Noto Sans CJK SC"/>
      <charset val="134"/>
    </font>
    <font>
      <b/>
      <strike/>
      <sz val="10"/>
      <color rgb="FF808080"/>
      <name val="Noto Sans CJK SC"/>
      <charset val="134"/>
    </font>
    <font>
      <b/>
      <sz val="9.5"/>
      <color rgb="FF808080"/>
      <name val="Noto Sans CJK SC"/>
      <charset val="134"/>
    </font>
    <font>
      <b/>
      <sz val="9.5"/>
      <color rgb="FFC2372F"/>
      <name val="Noto Sans CJK SC"/>
      <charset val="134"/>
    </font>
    <font>
      <b/>
      <sz val="9.5"/>
      <color rgb="FFB45309"/>
      <name val="Noto Sans CJK SC"/>
      <charset val="134"/>
    </font>
    <font>
      <b/>
      <sz val="9.5"/>
      <color rgb="FF1370C2"/>
      <name val="Noto Sans CJK SC"/>
      <charset val="134"/>
    </font>
    <font>
      <sz val="9.5"/>
      <color rgb="FF1C2B24"/>
      <name val="Noto Sans CJK SC"/>
      <charset val="134"/>
    </font>
    <font>
      <b/>
      <sz val="9.5"/>
      <color rgb="FF5B54A8"/>
      <name val="Noto Sans CJK SC"/>
      <charset val="134"/>
    </font>
    <font>
      <b/>
      <sz val="10"/>
      <color rgb="FF0E7A5C"/>
      <name val="Microsoft YaHei"/>
      <charset val="1"/>
    </font>
    <font>
      <b/>
      <sz val="10"/>
      <color rgb="FFB45309"/>
      <name val="Microsoft YaHei"/>
      <charset val="1"/>
    </font>
    <font>
      <b/>
      <sz val="10"/>
      <color rgb="FFC2372F"/>
      <name val="Noto Sans CJK SC"/>
      <charset val="134"/>
    </font>
    <font>
      <sz val="9.5"/>
      <color rgb="FF808080"/>
      <name val="Microsoft YaHei"/>
      <charset val="1"/>
    </font>
    <font>
      <sz val="9.5"/>
      <color rgb="FF808080"/>
      <name val="Noto Sans CJK SC"/>
      <charset val="134"/>
    </font>
    <font>
      <b/>
      <sz val="10"/>
      <color rgb="FF808080"/>
      <name val="Noto Sans CJK SC"/>
      <charset val="134"/>
    </font>
    <font>
      <b/>
      <sz val="10"/>
      <color rgb="FF5B54A8"/>
      <name val="Microsoft YaHei"/>
      <charset val="1"/>
    </font>
    <font>
      <b/>
      <sz val="10"/>
      <color rgb="FF1C2B24"/>
      <name val="Microsoft YaHei"/>
      <charset val="1"/>
    </font>
    <font>
      <sz val="9.5"/>
      <color rgb="FF1C2B24"/>
      <name val="Microsoft YaHei"/>
      <charset val="1"/>
    </font>
    <font>
      <b/>
      <sz val="10"/>
      <color rgb="FF0E7A5C"/>
      <name val="Noto Sans CJK SC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.5"/>
      <name val="Noto Sans CJK SC"/>
      <charset val="134"/>
    </font>
    <font>
      <b/>
      <strike/>
      <sz val="10"/>
      <color rgb="FF808080"/>
      <name val="Microsoft YaHei"/>
      <charset val="1"/>
    </font>
    <font>
      <b/>
      <sz val="10.5"/>
      <color rgb="FF0E7A5C"/>
      <name val="Microsoft YaHei"/>
      <charset val="1"/>
    </font>
  </fonts>
  <fills count="39">
    <fill>
      <patternFill patternType="none"/>
    </fill>
    <fill>
      <patternFill patternType="gray125"/>
    </fill>
    <fill>
      <patternFill patternType="solid">
        <fgColor rgb="FF0E7A5C"/>
        <bgColor rgb="FF008080"/>
      </patternFill>
    </fill>
    <fill>
      <patternFill patternType="solid">
        <fgColor rgb="FFE7F2EE"/>
        <bgColor rgb="FFEDEDED"/>
      </patternFill>
    </fill>
    <fill>
      <patternFill patternType="solid">
        <fgColor rgb="FFFBF1E4"/>
        <bgColor rgb="FFFBEBEA"/>
      </patternFill>
    </fill>
    <fill>
      <patternFill patternType="solid">
        <fgColor rgb="FFFBEBEA"/>
        <bgColor rgb="FFFBF1E4"/>
      </patternFill>
    </fill>
    <fill>
      <patternFill patternType="solid">
        <fgColor rgb="FFEDEDED"/>
        <bgColor rgb="FFEFEEF8"/>
      </patternFill>
    </fill>
    <fill>
      <patternFill patternType="solid">
        <fgColor rgb="FFEFEEF8"/>
        <bgColor rgb="FFEDEDE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rgb="FF0E7A5C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1" fillId="0" borderId="0" applyBorder="0" applyAlignment="0" applyProtection="0"/>
    <xf numFmtId="44" fontId="31" fillId="0" borderId="0" applyBorder="0" applyAlignment="0" applyProtection="0"/>
    <xf numFmtId="9" fontId="31" fillId="0" borderId="0" applyBorder="0" applyAlignment="0" applyProtection="0"/>
    <xf numFmtId="41" fontId="31" fillId="0" borderId="0" applyBorder="0" applyAlignment="0" applyProtection="0"/>
    <xf numFmtId="42" fontId="31" fillId="0" borderId="0" applyBorder="0" applyAlignment="0" applyProtection="0"/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8" borderId="2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9" borderId="5" applyNumberFormat="0" applyAlignment="0" applyProtection="0">
      <alignment vertical="center"/>
    </xf>
    <xf numFmtId="0" fontId="42" fillId="10" borderId="6" applyNumberFormat="0" applyAlignment="0" applyProtection="0">
      <alignment vertical="center"/>
    </xf>
    <xf numFmtId="0" fontId="43" fillId="10" borderId="5" applyNumberFormat="0" applyAlignment="0" applyProtection="0">
      <alignment vertical="center"/>
    </xf>
    <xf numFmtId="0" fontId="44" fillId="11" borderId="7" applyNumberFormat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1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</cellStyleXfs>
  <cellXfs count="7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3" fillId="3" borderId="0" xfId="0" applyFont="1" applyFill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Border="1"/>
    <xf numFmtId="0" fontId="1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18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7" fillId="0" borderId="1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20" fillId="0" borderId="0" xfId="0" applyFont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22" fillId="4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3" fillId="5" borderId="0" xfId="0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26" fillId="6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 wrapText="1"/>
    </xf>
    <xf numFmtId="0" fontId="28" fillId="0" borderId="1" xfId="0" applyFont="1" applyBorder="1" applyAlignment="1">
      <alignment horizontal="left" vertical="center"/>
    </xf>
    <xf numFmtId="0" fontId="30" fillId="3" borderId="1" xfId="0" applyFont="1" applyFill="1" applyBorder="1" applyAlignment="1">
      <alignment horizontal="center" vertical="center"/>
    </xf>
    <xf numFmtId="0" fontId="30" fillId="3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E7A5C"/>
      <rgbColor rgb="00C0C0C0"/>
      <rgbColor rgb="00808080"/>
      <rgbColor rgb="009999FF"/>
      <rgbColor rgb="00B45309"/>
      <rgbColor rgb="00FBF1E4"/>
      <rgbColor rgb="00E7F2EE"/>
      <rgbColor rgb="00660066"/>
      <rgbColor rgb="00FF8080"/>
      <rgbColor rgb="001370C2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FEEF8"/>
      <rgbColor rgb="00EDEDED"/>
      <rgbColor rgb="00FBEBEA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B54A8"/>
      <rgbColor rgb="009AA8A0"/>
      <rgbColor rgb="00003366"/>
      <rgbColor rgb="006E7D75"/>
      <rgbColor rgb="00003300"/>
      <rgbColor rgb="00333300"/>
      <rgbColor rgb="00C2372F"/>
      <rgbColor rgb="00993366"/>
      <rgbColor rgb="00333399"/>
      <rgbColor rgb="001C2B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3"/>
  <sheetViews>
    <sheetView tabSelected="1" zoomScale="120" zoomScaleNormal="120" workbookViewId="0">
      <pane xSplit="2" ySplit="1" topLeftCell="C2" activePane="bottomRight" state="frozen"/>
      <selection/>
      <selection pane="topRight"/>
      <selection pane="bottomLeft"/>
      <selection pane="bottomRight" activeCell="D23" sqref="D23"/>
    </sheetView>
  </sheetViews>
  <sheetFormatPr defaultColWidth="8.6796875" defaultRowHeight="16.8"/>
  <cols>
    <col min="1" max="1" width="5.5078125" customWidth="1"/>
    <col min="2" max="2" width="12" customWidth="1"/>
    <col min="3" max="3" width="24" customWidth="1"/>
    <col min="4" max="4" width="40" customWidth="1"/>
    <col min="5" max="5" width="30" customWidth="1"/>
    <col min="6" max="6" width="9.5078125" customWidth="1"/>
    <col min="7" max="7" width="8.5" customWidth="1"/>
    <col min="8" max="8" width="9" customWidth="1"/>
    <col min="9" max="9" width="26" customWidth="1"/>
  </cols>
  <sheetData>
    <row r="1" ht="21.75" customHeight="1" spans="1:9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9">
      <c r="A2" s="34">
        <v>1</v>
      </c>
      <c r="B2" s="35" t="s">
        <v>9</v>
      </c>
      <c r="C2" s="36" t="s">
        <v>10</v>
      </c>
      <c r="D2" s="37" t="s">
        <v>11</v>
      </c>
      <c r="E2" s="38" t="s">
        <v>12</v>
      </c>
      <c r="F2" s="39" t="s">
        <v>13</v>
      </c>
      <c r="G2" s="40" t="s">
        <v>14</v>
      </c>
      <c r="H2" s="41" t="str">
        <f t="shared" ref="H2:H65" si="0">IF($G2="P0","一期",IF($G2="P1","二期",IF($G2="P2","三期",IF($G2="并行","并行推进",IF($G2="待拍板","待定","不开发")))))</f>
        <v>一期</v>
      </c>
      <c r="I2" s="38"/>
    </row>
    <row r="3" spans="1:9">
      <c r="A3" s="34">
        <v>2</v>
      </c>
      <c r="B3" s="42" t="s">
        <v>15</v>
      </c>
      <c r="C3" s="43" t="s">
        <v>16</v>
      </c>
      <c r="D3" s="44" t="s">
        <v>17</v>
      </c>
      <c r="E3" s="45" t="s">
        <v>12</v>
      </c>
      <c r="F3" s="46" t="s">
        <v>13</v>
      </c>
      <c r="G3" s="47" t="s">
        <v>14</v>
      </c>
      <c r="H3" s="48" t="str">
        <f t="shared" si="0"/>
        <v>一期</v>
      </c>
      <c r="I3" s="49" t="s">
        <v>18</v>
      </c>
    </row>
    <row r="4" spans="1:9">
      <c r="A4" s="34">
        <v>3</v>
      </c>
      <c r="B4" s="42" t="s">
        <v>15</v>
      </c>
      <c r="C4" s="43" t="s">
        <v>19</v>
      </c>
      <c r="D4" s="44" t="s">
        <v>20</v>
      </c>
      <c r="E4" s="45" t="s">
        <v>12</v>
      </c>
      <c r="F4" s="46" t="s">
        <v>13</v>
      </c>
      <c r="G4" s="47" t="s">
        <v>14</v>
      </c>
      <c r="H4" s="48" t="str">
        <f t="shared" si="0"/>
        <v>一期</v>
      </c>
      <c r="I4" s="45"/>
    </row>
    <row r="5" spans="1:9">
      <c r="A5" s="34">
        <v>4</v>
      </c>
      <c r="B5" s="42" t="s">
        <v>15</v>
      </c>
      <c r="C5" s="43" t="s">
        <v>21</v>
      </c>
      <c r="D5" s="44" t="s">
        <v>22</v>
      </c>
      <c r="E5" s="45" t="s">
        <v>12</v>
      </c>
      <c r="F5" s="46" t="s">
        <v>13</v>
      </c>
      <c r="G5" s="47" t="s">
        <v>14</v>
      </c>
      <c r="H5" s="48" t="str">
        <f t="shared" si="0"/>
        <v>一期</v>
      </c>
      <c r="I5" s="45"/>
    </row>
    <row r="6" spans="1:9">
      <c r="A6" s="34">
        <v>5</v>
      </c>
      <c r="B6" s="42" t="s">
        <v>15</v>
      </c>
      <c r="C6" s="43" t="s">
        <v>23</v>
      </c>
      <c r="D6" s="44" t="s">
        <v>24</v>
      </c>
      <c r="E6" s="45" t="s">
        <v>12</v>
      </c>
      <c r="F6" s="46" t="s">
        <v>13</v>
      </c>
      <c r="G6" s="47" t="s">
        <v>14</v>
      </c>
      <c r="H6" s="48" t="str">
        <f t="shared" si="0"/>
        <v>一期</v>
      </c>
      <c r="I6" s="45"/>
    </row>
    <row r="7" ht="17.55" spans="1:9">
      <c r="A7" s="34">
        <v>6</v>
      </c>
      <c r="B7" s="42" t="s">
        <v>15</v>
      </c>
      <c r="C7" s="43" t="s">
        <v>25</v>
      </c>
      <c r="D7" s="44" t="s">
        <v>26</v>
      </c>
      <c r="E7" s="45" t="s">
        <v>12</v>
      </c>
      <c r="F7" s="46" t="s">
        <v>13</v>
      </c>
      <c r="G7" s="50" t="s">
        <v>27</v>
      </c>
      <c r="H7" s="48" t="str">
        <f t="shared" si="0"/>
        <v>二期</v>
      </c>
      <c r="I7" s="45"/>
    </row>
    <row r="8" spans="1:9">
      <c r="A8" s="34">
        <v>7</v>
      </c>
      <c r="B8" s="35" t="s">
        <v>28</v>
      </c>
      <c r="C8" s="36" t="s">
        <v>29</v>
      </c>
      <c r="D8" s="37" t="s">
        <v>30</v>
      </c>
      <c r="E8" s="51" t="s">
        <v>31</v>
      </c>
      <c r="F8" s="39" t="s">
        <v>13</v>
      </c>
      <c r="G8" s="40" t="s">
        <v>14</v>
      </c>
      <c r="H8" s="41" t="str">
        <f t="shared" si="0"/>
        <v>一期</v>
      </c>
      <c r="I8" s="51" t="s">
        <v>32</v>
      </c>
    </row>
    <row r="9" spans="1:9">
      <c r="A9" s="34">
        <v>8</v>
      </c>
      <c r="B9" s="42" t="s">
        <v>33</v>
      </c>
      <c r="C9" s="43" t="s">
        <v>34</v>
      </c>
      <c r="D9" s="44" t="s">
        <v>35</v>
      </c>
      <c r="E9" s="49" t="s">
        <v>36</v>
      </c>
      <c r="F9" s="52" t="s">
        <v>37</v>
      </c>
      <c r="G9" s="47" t="s">
        <v>14</v>
      </c>
      <c r="H9" s="48" t="str">
        <f t="shared" si="0"/>
        <v>一期</v>
      </c>
      <c r="I9" s="45"/>
    </row>
    <row r="10" spans="1:9">
      <c r="A10" s="34">
        <v>9</v>
      </c>
      <c r="B10" s="42" t="s">
        <v>33</v>
      </c>
      <c r="C10" s="43" t="s">
        <v>38</v>
      </c>
      <c r="D10" s="44" t="s">
        <v>39</v>
      </c>
      <c r="E10" s="49" t="s">
        <v>40</v>
      </c>
      <c r="F10" s="52" t="s">
        <v>37</v>
      </c>
      <c r="G10" s="47" t="s">
        <v>14</v>
      </c>
      <c r="H10" s="48" t="str">
        <f t="shared" si="0"/>
        <v>一期</v>
      </c>
      <c r="I10" s="45"/>
    </row>
    <row r="11" spans="1:9">
      <c r="A11" s="34">
        <v>10</v>
      </c>
      <c r="B11" s="42" t="s">
        <v>33</v>
      </c>
      <c r="C11" s="43" t="s">
        <v>41</v>
      </c>
      <c r="D11" s="44" t="s">
        <v>42</v>
      </c>
      <c r="E11" s="49" t="s">
        <v>31</v>
      </c>
      <c r="F11" s="46" t="s">
        <v>13</v>
      </c>
      <c r="G11" s="47" t="s">
        <v>14</v>
      </c>
      <c r="H11" s="48" t="str">
        <f t="shared" si="0"/>
        <v>一期</v>
      </c>
      <c r="I11" s="49" t="s">
        <v>43</v>
      </c>
    </row>
    <row r="12" spans="1:9">
      <c r="A12" s="34">
        <v>11</v>
      </c>
      <c r="B12" s="42" t="s">
        <v>33</v>
      </c>
      <c r="C12" s="43" t="s">
        <v>44</v>
      </c>
      <c r="D12" s="44" t="s">
        <v>45</v>
      </c>
      <c r="E12" s="49" t="s">
        <v>46</v>
      </c>
      <c r="F12" s="46" t="s">
        <v>13</v>
      </c>
      <c r="G12" s="50" t="s">
        <v>27</v>
      </c>
      <c r="H12" s="48" t="str">
        <f t="shared" si="0"/>
        <v>二期</v>
      </c>
      <c r="I12" s="45"/>
    </row>
    <row r="13" spans="1:9">
      <c r="A13" s="34">
        <v>12</v>
      </c>
      <c r="B13" s="42" t="s">
        <v>33</v>
      </c>
      <c r="C13" s="43" t="s">
        <v>47</v>
      </c>
      <c r="D13" s="44" t="s">
        <v>48</v>
      </c>
      <c r="E13" s="49" t="s">
        <v>49</v>
      </c>
      <c r="F13" s="52" t="s">
        <v>37</v>
      </c>
      <c r="G13" s="47" t="s">
        <v>14</v>
      </c>
      <c r="H13" s="48" t="str">
        <f t="shared" si="0"/>
        <v>一期</v>
      </c>
      <c r="I13" s="45"/>
    </row>
    <row r="14" spans="1:9">
      <c r="A14" s="34">
        <v>13</v>
      </c>
      <c r="B14" s="42" t="s">
        <v>33</v>
      </c>
      <c r="C14" s="43" t="s">
        <v>50</v>
      </c>
      <c r="D14" s="44" t="s">
        <v>51</v>
      </c>
      <c r="E14" s="49" t="s">
        <v>46</v>
      </c>
      <c r="F14" s="46" t="s">
        <v>13</v>
      </c>
      <c r="G14" s="47" t="s">
        <v>14</v>
      </c>
      <c r="H14" s="48" t="str">
        <f t="shared" si="0"/>
        <v>一期</v>
      </c>
      <c r="I14" s="49" t="s">
        <v>52</v>
      </c>
    </row>
    <row r="15" spans="1:9">
      <c r="A15" s="34">
        <v>14</v>
      </c>
      <c r="B15" s="42" t="s">
        <v>33</v>
      </c>
      <c r="C15" s="43" t="s">
        <v>53</v>
      </c>
      <c r="D15" s="44" t="s">
        <v>54</v>
      </c>
      <c r="E15" s="49" t="s">
        <v>55</v>
      </c>
      <c r="F15" s="53" t="s">
        <v>56</v>
      </c>
      <c r="G15" s="47" t="s">
        <v>14</v>
      </c>
      <c r="H15" s="48" t="str">
        <f t="shared" si="0"/>
        <v>一期</v>
      </c>
      <c r="I15" s="45"/>
    </row>
    <row r="16" spans="1:9">
      <c r="A16" s="34">
        <v>15</v>
      </c>
      <c r="B16" s="42" t="s">
        <v>33</v>
      </c>
      <c r="C16" s="43" t="s">
        <v>57</v>
      </c>
      <c r="D16" s="44" t="s">
        <v>58</v>
      </c>
      <c r="E16" s="49" t="s">
        <v>46</v>
      </c>
      <c r="F16" s="46" t="s">
        <v>13</v>
      </c>
      <c r="G16" s="47" t="s">
        <v>14</v>
      </c>
      <c r="H16" s="48" t="str">
        <f t="shared" si="0"/>
        <v>一期</v>
      </c>
      <c r="I16" s="45"/>
    </row>
    <row r="17" spans="1:9">
      <c r="A17" s="34">
        <v>16</v>
      </c>
      <c r="B17" s="42" t="s">
        <v>33</v>
      </c>
      <c r="C17" s="43" t="s">
        <v>59</v>
      </c>
      <c r="D17" s="44" t="s">
        <v>60</v>
      </c>
      <c r="E17" s="49" t="s">
        <v>46</v>
      </c>
      <c r="F17" s="46" t="s">
        <v>13</v>
      </c>
      <c r="G17" s="47" t="s">
        <v>14</v>
      </c>
      <c r="H17" s="48" t="str">
        <f t="shared" si="0"/>
        <v>一期</v>
      </c>
      <c r="I17" s="45"/>
    </row>
    <row r="18" spans="1:9">
      <c r="A18" s="34">
        <v>17</v>
      </c>
      <c r="B18" s="42" t="s">
        <v>33</v>
      </c>
      <c r="C18" s="43" t="s">
        <v>61</v>
      </c>
      <c r="D18" s="44" t="s">
        <v>62</v>
      </c>
      <c r="E18" s="49" t="s">
        <v>46</v>
      </c>
      <c r="F18" s="46" t="s">
        <v>13</v>
      </c>
      <c r="G18" s="50" t="s">
        <v>27</v>
      </c>
      <c r="H18" s="48" t="str">
        <f t="shared" si="0"/>
        <v>二期</v>
      </c>
      <c r="I18" s="45"/>
    </row>
    <row r="19" spans="1:9">
      <c r="A19" s="34">
        <v>18</v>
      </c>
      <c r="B19" s="35" t="s">
        <v>63</v>
      </c>
      <c r="C19" s="36" t="s">
        <v>64</v>
      </c>
      <c r="D19" s="37" t="s">
        <v>65</v>
      </c>
      <c r="E19" s="51" t="s">
        <v>66</v>
      </c>
      <c r="F19" s="54" t="s">
        <v>56</v>
      </c>
      <c r="G19" s="40" t="s">
        <v>14</v>
      </c>
      <c r="H19" s="41" t="str">
        <f t="shared" si="0"/>
        <v>一期</v>
      </c>
      <c r="I19" s="38"/>
    </row>
    <row r="20" spans="1:9">
      <c r="A20" s="34">
        <v>19</v>
      </c>
      <c r="B20" s="42" t="s">
        <v>67</v>
      </c>
      <c r="C20" s="43" t="s">
        <v>68</v>
      </c>
      <c r="D20" s="44" t="s">
        <v>69</v>
      </c>
      <c r="E20" s="49" t="s">
        <v>70</v>
      </c>
      <c r="F20" s="53" t="s">
        <v>56</v>
      </c>
      <c r="G20" s="47" t="s">
        <v>14</v>
      </c>
      <c r="H20" s="48" t="str">
        <f t="shared" si="0"/>
        <v>一期</v>
      </c>
      <c r="I20" s="45"/>
    </row>
    <row r="21" spans="1:9">
      <c r="A21" s="34">
        <v>20</v>
      </c>
      <c r="B21" s="42" t="s">
        <v>67</v>
      </c>
      <c r="C21" s="43" t="s">
        <v>71</v>
      </c>
      <c r="D21" s="44" t="s">
        <v>72</v>
      </c>
      <c r="E21" s="49" t="s">
        <v>73</v>
      </c>
      <c r="F21" s="53" t="s">
        <v>56</v>
      </c>
      <c r="G21" s="47" t="s">
        <v>14</v>
      </c>
      <c r="H21" s="48" t="str">
        <f t="shared" si="0"/>
        <v>一期</v>
      </c>
      <c r="I21" s="45"/>
    </row>
    <row r="22" spans="1:9">
      <c r="A22" s="34">
        <v>21</v>
      </c>
      <c r="B22" s="42" t="s">
        <v>67</v>
      </c>
      <c r="C22" s="43" t="s">
        <v>74</v>
      </c>
      <c r="D22" s="44" t="s">
        <v>75</v>
      </c>
      <c r="E22" s="45" t="s">
        <v>12</v>
      </c>
      <c r="F22" s="46" t="s">
        <v>13</v>
      </c>
      <c r="G22" s="50" t="s">
        <v>27</v>
      </c>
      <c r="H22" s="48" t="str">
        <f t="shared" si="0"/>
        <v>二期</v>
      </c>
      <c r="I22" s="49" t="s">
        <v>76</v>
      </c>
    </row>
    <row r="23" spans="1:9">
      <c r="A23" s="34">
        <v>22</v>
      </c>
      <c r="B23" s="42" t="s">
        <v>67</v>
      </c>
      <c r="C23" s="43" t="s">
        <v>77</v>
      </c>
      <c r="D23" s="44" t="s">
        <v>78</v>
      </c>
      <c r="E23" s="49" t="s">
        <v>79</v>
      </c>
      <c r="F23" s="53" t="s">
        <v>56</v>
      </c>
      <c r="G23" s="47" t="s">
        <v>14</v>
      </c>
      <c r="H23" s="48" t="str">
        <f t="shared" si="0"/>
        <v>一期</v>
      </c>
      <c r="I23" s="45"/>
    </row>
    <row r="24" spans="1:9">
      <c r="A24" s="34">
        <v>23</v>
      </c>
      <c r="B24" s="42" t="s">
        <v>67</v>
      </c>
      <c r="C24" s="43" t="s">
        <v>80</v>
      </c>
      <c r="D24" s="44" t="s">
        <v>81</v>
      </c>
      <c r="E24" s="49" t="s">
        <v>82</v>
      </c>
      <c r="F24" s="53" t="s">
        <v>56</v>
      </c>
      <c r="G24" s="47" t="s">
        <v>14</v>
      </c>
      <c r="H24" s="48" t="str">
        <f t="shared" si="0"/>
        <v>一期</v>
      </c>
      <c r="I24" s="45"/>
    </row>
    <row r="25" spans="1:9">
      <c r="A25" s="34">
        <v>24</v>
      </c>
      <c r="B25" s="42" t="s">
        <v>67</v>
      </c>
      <c r="C25" s="43" t="s">
        <v>83</v>
      </c>
      <c r="D25" s="44" t="s">
        <v>84</v>
      </c>
      <c r="E25" s="49" t="s">
        <v>85</v>
      </c>
      <c r="F25" s="53" t="s">
        <v>56</v>
      </c>
      <c r="G25" s="47" t="s">
        <v>14</v>
      </c>
      <c r="H25" s="48" t="str">
        <f t="shared" si="0"/>
        <v>一期</v>
      </c>
      <c r="I25" s="45"/>
    </row>
    <row r="26" spans="1:9">
      <c r="A26" s="34">
        <v>25</v>
      </c>
      <c r="B26" s="42" t="s">
        <v>67</v>
      </c>
      <c r="C26" s="43" t="s">
        <v>86</v>
      </c>
      <c r="D26" s="44" t="s">
        <v>87</v>
      </c>
      <c r="E26" s="49" t="s">
        <v>88</v>
      </c>
      <c r="F26" s="52" t="s">
        <v>37</v>
      </c>
      <c r="G26" s="47" t="s">
        <v>14</v>
      </c>
      <c r="H26" s="48" t="str">
        <f t="shared" si="0"/>
        <v>一期</v>
      </c>
      <c r="I26" s="45" t="s">
        <v>89</v>
      </c>
    </row>
    <row r="27" spans="1:9">
      <c r="A27" s="34">
        <v>26</v>
      </c>
      <c r="B27" s="42" t="s">
        <v>67</v>
      </c>
      <c r="C27" s="43" t="s">
        <v>90</v>
      </c>
      <c r="D27" s="44" t="s">
        <v>91</v>
      </c>
      <c r="E27" s="49" t="s">
        <v>92</v>
      </c>
      <c r="F27" s="55" t="s">
        <v>93</v>
      </c>
      <c r="G27" s="56" t="s">
        <v>94</v>
      </c>
      <c r="H27" s="48" t="str">
        <f t="shared" si="0"/>
        <v>待定</v>
      </c>
      <c r="I27" s="49" t="s">
        <v>95</v>
      </c>
    </row>
    <row r="28" spans="1:9">
      <c r="A28" s="34">
        <v>27</v>
      </c>
      <c r="B28" s="42" t="s">
        <v>67</v>
      </c>
      <c r="C28" s="43" t="s">
        <v>96</v>
      </c>
      <c r="D28" s="44" t="s">
        <v>97</v>
      </c>
      <c r="E28" s="49" t="s">
        <v>98</v>
      </c>
      <c r="F28" s="55" t="s">
        <v>93</v>
      </c>
      <c r="G28" s="56" t="s">
        <v>94</v>
      </c>
      <c r="H28" s="48" t="str">
        <f t="shared" si="0"/>
        <v>待定</v>
      </c>
      <c r="I28" s="49" t="s">
        <v>99</v>
      </c>
    </row>
    <row r="29" spans="1:9">
      <c r="A29" s="34">
        <v>28</v>
      </c>
      <c r="B29" s="42" t="s">
        <v>67</v>
      </c>
      <c r="C29" s="57" t="s">
        <v>100</v>
      </c>
      <c r="D29" s="58" t="s">
        <v>12</v>
      </c>
      <c r="E29" s="59" t="s">
        <v>101</v>
      </c>
      <c r="F29" s="60" t="s">
        <v>102</v>
      </c>
      <c r="G29" s="61" t="s">
        <v>102</v>
      </c>
      <c r="H29" s="48" t="str">
        <f t="shared" si="0"/>
        <v>不开发</v>
      </c>
      <c r="I29" s="58" t="s">
        <v>103</v>
      </c>
    </row>
    <row r="30" spans="1:9">
      <c r="A30" s="34">
        <v>29</v>
      </c>
      <c r="B30" s="42" t="s">
        <v>67</v>
      </c>
      <c r="C30" s="57" t="s">
        <v>104</v>
      </c>
      <c r="D30" s="58" t="s">
        <v>12</v>
      </c>
      <c r="E30" s="59" t="s">
        <v>105</v>
      </c>
      <c r="F30" s="60" t="s">
        <v>102</v>
      </c>
      <c r="G30" s="61" t="s">
        <v>102</v>
      </c>
      <c r="H30" s="48" t="str">
        <f t="shared" si="0"/>
        <v>不开发</v>
      </c>
      <c r="I30" s="58" t="s">
        <v>103</v>
      </c>
    </row>
    <row r="31" ht="28.75" spans="1:9">
      <c r="A31" s="34">
        <v>30</v>
      </c>
      <c r="B31" s="42" t="s">
        <v>67</v>
      </c>
      <c r="C31" s="57" t="s">
        <v>106</v>
      </c>
      <c r="D31" s="59" t="s">
        <v>107</v>
      </c>
      <c r="E31" s="59" t="s">
        <v>108</v>
      </c>
      <c r="F31" s="60" t="s">
        <v>102</v>
      </c>
      <c r="G31" s="61" t="s">
        <v>102</v>
      </c>
      <c r="H31" s="48" t="str">
        <f t="shared" si="0"/>
        <v>不开发</v>
      </c>
      <c r="I31" s="58" t="s">
        <v>103</v>
      </c>
    </row>
    <row r="32" spans="1:9">
      <c r="A32" s="34">
        <v>31</v>
      </c>
      <c r="B32" s="35" t="s">
        <v>109</v>
      </c>
      <c r="C32" s="36" t="s">
        <v>110</v>
      </c>
      <c r="D32" s="37" t="s">
        <v>111</v>
      </c>
      <c r="E32" s="51" t="s">
        <v>112</v>
      </c>
      <c r="F32" s="54" t="s">
        <v>56</v>
      </c>
      <c r="G32" s="40" t="s">
        <v>14</v>
      </c>
      <c r="H32" s="41" t="str">
        <f t="shared" si="0"/>
        <v>一期</v>
      </c>
      <c r="I32" s="38"/>
    </row>
    <row r="33" spans="1:9">
      <c r="A33" s="34">
        <v>32</v>
      </c>
      <c r="B33" s="42" t="s">
        <v>113</v>
      </c>
      <c r="C33" s="43" t="s">
        <v>114</v>
      </c>
      <c r="D33" s="44" t="s">
        <v>115</v>
      </c>
      <c r="E33" s="49" t="s">
        <v>114</v>
      </c>
      <c r="F33" s="53" t="s">
        <v>56</v>
      </c>
      <c r="G33" s="47" t="s">
        <v>14</v>
      </c>
      <c r="H33" s="48" t="str">
        <f t="shared" si="0"/>
        <v>一期</v>
      </c>
      <c r="I33" s="45"/>
    </row>
    <row r="34" spans="1:9">
      <c r="A34" s="34">
        <v>33</v>
      </c>
      <c r="B34" s="42" t="s">
        <v>113</v>
      </c>
      <c r="C34" s="43" t="s">
        <v>116</v>
      </c>
      <c r="D34" s="44" t="s">
        <v>117</v>
      </c>
      <c r="E34" s="49" t="s">
        <v>116</v>
      </c>
      <c r="F34" s="53" t="s">
        <v>56</v>
      </c>
      <c r="G34" s="47" t="s">
        <v>14</v>
      </c>
      <c r="H34" s="48" t="str">
        <f t="shared" si="0"/>
        <v>一期</v>
      </c>
      <c r="I34" s="45"/>
    </row>
    <row r="35" spans="1:9">
      <c r="A35" s="34">
        <v>34</v>
      </c>
      <c r="B35" s="42" t="s">
        <v>113</v>
      </c>
      <c r="C35" s="43" t="s">
        <v>118</v>
      </c>
      <c r="D35" s="44" t="s">
        <v>119</v>
      </c>
      <c r="E35" s="49" t="s">
        <v>120</v>
      </c>
      <c r="F35" s="53" t="s">
        <v>56</v>
      </c>
      <c r="G35" s="47" t="s">
        <v>14</v>
      </c>
      <c r="H35" s="48" t="str">
        <f t="shared" si="0"/>
        <v>一期</v>
      </c>
      <c r="I35" s="49" t="s">
        <v>121</v>
      </c>
    </row>
    <row r="36" spans="1:9">
      <c r="A36" s="34">
        <v>35</v>
      </c>
      <c r="B36" s="42" t="s">
        <v>113</v>
      </c>
      <c r="C36" s="43" t="s">
        <v>122</v>
      </c>
      <c r="D36" s="44" t="s">
        <v>123</v>
      </c>
      <c r="E36" s="49" t="s">
        <v>124</v>
      </c>
      <c r="F36" s="53" t="s">
        <v>56</v>
      </c>
      <c r="G36" s="50" t="s">
        <v>27</v>
      </c>
      <c r="H36" s="48" t="str">
        <f t="shared" si="0"/>
        <v>二期</v>
      </c>
      <c r="I36" s="49" t="s">
        <v>125</v>
      </c>
    </row>
    <row r="37" spans="1:9">
      <c r="A37" s="34">
        <v>36</v>
      </c>
      <c r="B37" s="42" t="s">
        <v>113</v>
      </c>
      <c r="C37" s="43" t="s">
        <v>126</v>
      </c>
      <c r="D37" s="44" t="s">
        <v>127</v>
      </c>
      <c r="E37" s="49" t="s">
        <v>128</v>
      </c>
      <c r="F37" s="53" t="s">
        <v>56</v>
      </c>
      <c r="G37" s="47" t="s">
        <v>14</v>
      </c>
      <c r="H37" s="48" t="str">
        <f t="shared" si="0"/>
        <v>一期</v>
      </c>
      <c r="I37" s="45"/>
    </row>
    <row r="38" spans="1:9">
      <c r="A38" s="34">
        <v>37</v>
      </c>
      <c r="B38" s="42" t="s">
        <v>113</v>
      </c>
      <c r="C38" s="43" t="s">
        <v>129</v>
      </c>
      <c r="D38" s="44" t="s">
        <v>130</v>
      </c>
      <c r="E38" s="49" t="s">
        <v>131</v>
      </c>
      <c r="F38" s="53" t="s">
        <v>56</v>
      </c>
      <c r="G38" s="50" t="s">
        <v>27</v>
      </c>
      <c r="H38" s="48" t="str">
        <f t="shared" si="0"/>
        <v>二期</v>
      </c>
      <c r="I38" s="45"/>
    </row>
    <row r="39" spans="1:9">
      <c r="A39" s="34">
        <v>38</v>
      </c>
      <c r="B39" s="42" t="s">
        <v>113</v>
      </c>
      <c r="C39" s="43" t="s">
        <v>132</v>
      </c>
      <c r="D39" s="44" t="s">
        <v>133</v>
      </c>
      <c r="E39" s="49" t="s">
        <v>132</v>
      </c>
      <c r="F39" s="55" t="s">
        <v>93</v>
      </c>
      <c r="G39" s="56" t="s">
        <v>94</v>
      </c>
      <c r="H39" s="48" t="str">
        <f t="shared" si="0"/>
        <v>待定</v>
      </c>
      <c r="I39" s="45" t="s">
        <v>134</v>
      </c>
    </row>
    <row r="40" spans="1:9">
      <c r="A40" s="34">
        <v>39</v>
      </c>
      <c r="B40" s="42" t="s">
        <v>113</v>
      </c>
      <c r="C40" s="43" t="s">
        <v>135</v>
      </c>
      <c r="D40" s="44" t="s">
        <v>136</v>
      </c>
      <c r="E40" s="49" t="s">
        <v>135</v>
      </c>
      <c r="F40" s="55" t="s">
        <v>93</v>
      </c>
      <c r="G40" s="56" t="s">
        <v>94</v>
      </c>
      <c r="H40" s="48" t="str">
        <f t="shared" si="0"/>
        <v>待定</v>
      </c>
      <c r="I40" s="45" t="s">
        <v>137</v>
      </c>
    </row>
    <row r="41" spans="1:9">
      <c r="A41" s="34">
        <v>40</v>
      </c>
      <c r="B41" s="42" t="s">
        <v>113</v>
      </c>
      <c r="C41" s="43" t="s">
        <v>138</v>
      </c>
      <c r="D41" s="44" t="s">
        <v>139</v>
      </c>
      <c r="E41" s="49" t="s">
        <v>140</v>
      </c>
      <c r="F41" s="62" t="s">
        <v>141</v>
      </c>
      <c r="G41" s="63" t="s">
        <v>142</v>
      </c>
      <c r="H41" s="48" t="str">
        <f t="shared" si="0"/>
        <v>三期</v>
      </c>
      <c r="I41" s="49" t="s">
        <v>143</v>
      </c>
    </row>
    <row r="42" spans="1:9">
      <c r="A42" s="34">
        <v>41</v>
      </c>
      <c r="B42" s="42" t="s">
        <v>113</v>
      </c>
      <c r="C42" s="57" t="s">
        <v>144</v>
      </c>
      <c r="D42" s="58" t="s">
        <v>12</v>
      </c>
      <c r="E42" s="59" t="s">
        <v>144</v>
      </c>
      <c r="F42" s="60" t="s">
        <v>102</v>
      </c>
      <c r="G42" s="61" t="s">
        <v>102</v>
      </c>
      <c r="H42" s="48" t="str">
        <f t="shared" si="0"/>
        <v>不开发</v>
      </c>
      <c r="I42" s="58"/>
    </row>
    <row r="43" spans="1:9">
      <c r="A43" s="34">
        <v>42</v>
      </c>
      <c r="B43" s="42" t="s">
        <v>113</v>
      </c>
      <c r="C43" s="57" t="s">
        <v>145</v>
      </c>
      <c r="D43" s="58" t="s">
        <v>12</v>
      </c>
      <c r="E43" s="59" t="s">
        <v>146</v>
      </c>
      <c r="F43" s="60" t="s">
        <v>102</v>
      </c>
      <c r="G43" s="61" t="s">
        <v>102</v>
      </c>
      <c r="H43" s="48" t="str">
        <f t="shared" si="0"/>
        <v>不开发</v>
      </c>
      <c r="I43" s="58"/>
    </row>
    <row r="44" ht="17.55" spans="1:9">
      <c r="A44" s="34">
        <v>43</v>
      </c>
      <c r="B44" s="42" t="s">
        <v>113</v>
      </c>
      <c r="C44" s="57" t="s">
        <v>147</v>
      </c>
      <c r="D44" s="58" t="s">
        <v>12</v>
      </c>
      <c r="E44" s="59" t="s">
        <v>148</v>
      </c>
      <c r="F44" s="60" t="s">
        <v>102</v>
      </c>
      <c r="G44" s="61" t="s">
        <v>102</v>
      </c>
      <c r="H44" s="48" t="str">
        <f t="shared" si="0"/>
        <v>不开发</v>
      </c>
      <c r="I44" s="58" t="s">
        <v>103</v>
      </c>
    </row>
    <row r="45" spans="1:9">
      <c r="A45" s="34">
        <v>44</v>
      </c>
      <c r="B45" s="35" t="s">
        <v>149</v>
      </c>
      <c r="C45" s="36" t="s">
        <v>150</v>
      </c>
      <c r="D45" s="37" t="s">
        <v>151</v>
      </c>
      <c r="E45" s="38" t="s">
        <v>12</v>
      </c>
      <c r="F45" s="39" t="s">
        <v>13</v>
      </c>
      <c r="G45" s="64" t="s">
        <v>27</v>
      </c>
      <c r="H45" s="41" t="str">
        <f t="shared" si="0"/>
        <v>二期</v>
      </c>
      <c r="I45" s="38"/>
    </row>
    <row r="46" spans="1:9">
      <c r="A46" s="34">
        <v>45</v>
      </c>
      <c r="B46" s="42" t="s">
        <v>152</v>
      </c>
      <c r="C46" s="43" t="s">
        <v>153</v>
      </c>
      <c r="D46" s="44" t="s">
        <v>154</v>
      </c>
      <c r="E46" s="49" t="s">
        <v>155</v>
      </c>
      <c r="F46" s="52" t="s">
        <v>156</v>
      </c>
      <c r="G46" s="50" t="s">
        <v>27</v>
      </c>
      <c r="H46" s="48" t="str">
        <f t="shared" si="0"/>
        <v>二期</v>
      </c>
      <c r="I46" s="45" t="s">
        <v>157</v>
      </c>
    </row>
    <row r="47" ht="28" spans="1:9">
      <c r="A47" s="34">
        <v>46</v>
      </c>
      <c r="B47" s="42" t="s">
        <v>152</v>
      </c>
      <c r="C47" s="43" t="s">
        <v>158</v>
      </c>
      <c r="D47" s="44" t="s">
        <v>159</v>
      </c>
      <c r="E47" s="49" t="s">
        <v>160</v>
      </c>
      <c r="F47" s="55" t="s">
        <v>93</v>
      </c>
      <c r="G47" s="56" t="s">
        <v>94</v>
      </c>
      <c r="H47" s="48" t="str">
        <f t="shared" si="0"/>
        <v>待定</v>
      </c>
      <c r="I47" s="49" t="s">
        <v>161</v>
      </c>
    </row>
    <row r="48" spans="1:9">
      <c r="A48" s="34">
        <v>47</v>
      </c>
      <c r="B48" s="42" t="s">
        <v>152</v>
      </c>
      <c r="C48" s="43" t="s">
        <v>162</v>
      </c>
      <c r="D48" s="44" t="s">
        <v>163</v>
      </c>
      <c r="E48" s="49" t="s">
        <v>164</v>
      </c>
      <c r="F48" s="53" t="s">
        <v>56</v>
      </c>
      <c r="G48" s="50" t="s">
        <v>27</v>
      </c>
      <c r="H48" s="48" t="str">
        <f t="shared" si="0"/>
        <v>二期</v>
      </c>
      <c r="I48" s="45"/>
    </row>
    <row r="49" spans="1:9">
      <c r="A49" s="34">
        <v>48</v>
      </c>
      <c r="B49" s="42" t="s">
        <v>152</v>
      </c>
      <c r="C49" s="43" t="s">
        <v>165</v>
      </c>
      <c r="D49" s="44" t="s">
        <v>166</v>
      </c>
      <c r="E49" s="49" t="s">
        <v>167</v>
      </c>
      <c r="F49" s="53" t="s">
        <v>56</v>
      </c>
      <c r="G49" s="50" t="s">
        <v>27</v>
      </c>
      <c r="H49" s="48" t="str">
        <f t="shared" si="0"/>
        <v>二期</v>
      </c>
      <c r="I49" s="45"/>
    </row>
    <row r="50" spans="1:9">
      <c r="A50" s="34">
        <v>49</v>
      </c>
      <c r="B50" s="42" t="s">
        <v>152</v>
      </c>
      <c r="C50" s="43" t="s">
        <v>168</v>
      </c>
      <c r="D50" s="44" t="s">
        <v>169</v>
      </c>
      <c r="E50" s="49" t="s">
        <v>168</v>
      </c>
      <c r="F50" s="53" t="s">
        <v>56</v>
      </c>
      <c r="G50" s="50" t="s">
        <v>27</v>
      </c>
      <c r="H50" s="48" t="str">
        <f t="shared" si="0"/>
        <v>二期</v>
      </c>
      <c r="I50" s="45"/>
    </row>
    <row r="51" spans="1:9">
      <c r="A51" s="34">
        <v>50</v>
      </c>
      <c r="B51" s="42" t="s">
        <v>152</v>
      </c>
      <c r="C51" s="57" t="s">
        <v>170</v>
      </c>
      <c r="D51" s="58" t="s">
        <v>12</v>
      </c>
      <c r="E51" s="59" t="s">
        <v>171</v>
      </c>
      <c r="F51" s="60" t="s">
        <v>102</v>
      </c>
      <c r="G51" s="61" t="s">
        <v>102</v>
      </c>
      <c r="H51" s="48" t="str">
        <f t="shared" si="0"/>
        <v>不开发</v>
      </c>
      <c r="I51" s="58" t="s">
        <v>103</v>
      </c>
    </row>
    <row r="52" ht="17.55" spans="1:9">
      <c r="A52" s="34">
        <v>51</v>
      </c>
      <c r="B52" s="42" t="s">
        <v>152</v>
      </c>
      <c r="C52" s="57" t="s">
        <v>172</v>
      </c>
      <c r="D52" s="58" t="s">
        <v>12</v>
      </c>
      <c r="E52" s="59" t="s">
        <v>173</v>
      </c>
      <c r="F52" s="60" t="s">
        <v>102</v>
      </c>
      <c r="G52" s="61" t="s">
        <v>102</v>
      </c>
      <c r="H52" s="48" t="str">
        <f t="shared" si="0"/>
        <v>不开发</v>
      </c>
      <c r="I52" s="58" t="s">
        <v>103</v>
      </c>
    </row>
    <row r="53" spans="1:9">
      <c r="A53" s="34">
        <v>52</v>
      </c>
      <c r="B53" s="35" t="s">
        <v>174</v>
      </c>
      <c r="C53" s="36" t="s">
        <v>175</v>
      </c>
      <c r="D53" s="37" t="s">
        <v>176</v>
      </c>
      <c r="E53" s="51" t="s">
        <v>177</v>
      </c>
      <c r="F53" s="65" t="s">
        <v>156</v>
      </c>
      <c r="G53" s="64" t="s">
        <v>27</v>
      </c>
      <c r="H53" s="41" t="str">
        <f t="shared" si="0"/>
        <v>二期</v>
      </c>
      <c r="I53" s="38"/>
    </row>
    <row r="54" spans="1:9">
      <c r="A54" s="34">
        <v>53</v>
      </c>
      <c r="B54" s="42" t="s">
        <v>178</v>
      </c>
      <c r="C54" s="43" t="s">
        <v>179</v>
      </c>
      <c r="D54" s="44" t="s">
        <v>180</v>
      </c>
      <c r="E54" s="49" t="s">
        <v>181</v>
      </c>
      <c r="F54" s="52" t="s">
        <v>156</v>
      </c>
      <c r="G54" s="50" t="s">
        <v>27</v>
      </c>
      <c r="H54" s="48" t="str">
        <f t="shared" si="0"/>
        <v>二期</v>
      </c>
      <c r="I54" s="45"/>
    </row>
    <row r="55" ht="28" spans="1:9">
      <c r="A55" s="34">
        <v>54</v>
      </c>
      <c r="B55" s="42" t="s">
        <v>178</v>
      </c>
      <c r="C55" s="43" t="s">
        <v>182</v>
      </c>
      <c r="D55" s="44" t="s">
        <v>183</v>
      </c>
      <c r="E55" s="49" t="s">
        <v>184</v>
      </c>
      <c r="F55" s="55" t="s">
        <v>93</v>
      </c>
      <c r="G55" s="56" t="s">
        <v>94</v>
      </c>
      <c r="H55" s="48" t="str">
        <f t="shared" si="0"/>
        <v>待定</v>
      </c>
      <c r="I55" s="49" t="s">
        <v>185</v>
      </c>
    </row>
    <row r="56" spans="1:9">
      <c r="A56" s="34">
        <v>55</v>
      </c>
      <c r="B56" s="42" t="s">
        <v>178</v>
      </c>
      <c r="C56" s="43" t="s">
        <v>186</v>
      </c>
      <c r="D56" s="44" t="s">
        <v>187</v>
      </c>
      <c r="E56" s="49" t="s">
        <v>188</v>
      </c>
      <c r="F56" s="52" t="s">
        <v>156</v>
      </c>
      <c r="G56" s="50" t="s">
        <v>27</v>
      </c>
      <c r="H56" s="48" t="str">
        <f t="shared" si="0"/>
        <v>二期</v>
      </c>
      <c r="I56" s="45"/>
    </row>
    <row r="57" spans="1:9">
      <c r="A57" s="34">
        <v>56</v>
      </c>
      <c r="B57" s="42" t="s">
        <v>178</v>
      </c>
      <c r="C57" s="43" t="s">
        <v>189</v>
      </c>
      <c r="D57" s="44" t="s">
        <v>190</v>
      </c>
      <c r="E57" s="49" t="s">
        <v>191</v>
      </c>
      <c r="F57" s="55" t="s">
        <v>93</v>
      </c>
      <c r="G57" s="56" t="s">
        <v>94</v>
      </c>
      <c r="H57" s="48" t="str">
        <f t="shared" si="0"/>
        <v>待定</v>
      </c>
      <c r="I57" s="49" t="s">
        <v>192</v>
      </c>
    </row>
    <row r="58" spans="1:9">
      <c r="A58" s="34">
        <v>57</v>
      </c>
      <c r="B58" s="42" t="s">
        <v>178</v>
      </c>
      <c r="C58" s="43" t="s">
        <v>193</v>
      </c>
      <c r="D58" s="44" t="s">
        <v>194</v>
      </c>
      <c r="E58" s="49" t="s">
        <v>195</v>
      </c>
      <c r="F58" s="53" t="s">
        <v>56</v>
      </c>
      <c r="G58" s="50" t="s">
        <v>27</v>
      </c>
      <c r="H58" s="48" t="str">
        <f t="shared" si="0"/>
        <v>二期</v>
      </c>
      <c r="I58" s="45"/>
    </row>
    <row r="59" spans="1:9">
      <c r="A59" s="34">
        <v>58</v>
      </c>
      <c r="B59" s="42" t="s">
        <v>178</v>
      </c>
      <c r="C59" s="43" t="s">
        <v>196</v>
      </c>
      <c r="D59" s="44" t="s">
        <v>197</v>
      </c>
      <c r="E59" s="45" t="s">
        <v>12</v>
      </c>
      <c r="F59" s="46" t="s">
        <v>13</v>
      </c>
      <c r="G59" s="63" t="s">
        <v>142</v>
      </c>
      <c r="H59" s="48" t="str">
        <f t="shared" si="0"/>
        <v>三期</v>
      </c>
      <c r="I59" s="45"/>
    </row>
    <row r="60" spans="1:9">
      <c r="A60" s="34">
        <v>59</v>
      </c>
      <c r="B60" s="42" t="s">
        <v>178</v>
      </c>
      <c r="C60" s="43" t="s">
        <v>198</v>
      </c>
      <c r="D60" s="44" t="s">
        <v>199</v>
      </c>
      <c r="E60" s="49" t="s">
        <v>200</v>
      </c>
      <c r="F60" s="46" t="s">
        <v>13</v>
      </c>
      <c r="G60" s="63" t="s">
        <v>142</v>
      </c>
      <c r="H60" s="48" t="str">
        <f t="shared" si="0"/>
        <v>三期</v>
      </c>
      <c r="I60" s="49" t="s">
        <v>201</v>
      </c>
    </row>
    <row r="61" spans="1:9">
      <c r="A61" s="34">
        <v>60</v>
      </c>
      <c r="B61" s="42" t="s">
        <v>178</v>
      </c>
      <c r="C61" s="43" t="s">
        <v>202</v>
      </c>
      <c r="D61" s="44" t="s">
        <v>203</v>
      </c>
      <c r="E61" s="49" t="s">
        <v>204</v>
      </c>
      <c r="F61" s="55" t="s">
        <v>93</v>
      </c>
      <c r="G61" s="56" t="s">
        <v>94</v>
      </c>
      <c r="H61" s="48" t="str">
        <f t="shared" si="0"/>
        <v>待定</v>
      </c>
      <c r="I61" s="49" t="s">
        <v>205</v>
      </c>
    </row>
    <row r="62" spans="1:9">
      <c r="A62" s="34">
        <v>61</v>
      </c>
      <c r="B62" s="42" t="s">
        <v>178</v>
      </c>
      <c r="C62" s="57" t="s">
        <v>206</v>
      </c>
      <c r="D62" s="58" t="s">
        <v>12</v>
      </c>
      <c r="E62" s="59" t="s">
        <v>207</v>
      </c>
      <c r="F62" s="60" t="s">
        <v>102</v>
      </c>
      <c r="G62" s="61" t="s">
        <v>102</v>
      </c>
      <c r="H62" s="48" t="str">
        <f t="shared" si="0"/>
        <v>不开发</v>
      </c>
      <c r="I62" s="58" t="s">
        <v>103</v>
      </c>
    </row>
    <row r="63" spans="1:9">
      <c r="A63" s="34">
        <v>62</v>
      </c>
      <c r="B63" s="42" t="s">
        <v>178</v>
      </c>
      <c r="C63" s="57" t="s">
        <v>208</v>
      </c>
      <c r="D63" s="58" t="s">
        <v>12</v>
      </c>
      <c r="E63" s="59" t="s">
        <v>209</v>
      </c>
      <c r="F63" s="60" t="s">
        <v>102</v>
      </c>
      <c r="G63" s="61" t="s">
        <v>102</v>
      </c>
      <c r="H63" s="48" t="str">
        <f t="shared" si="0"/>
        <v>不开发</v>
      </c>
      <c r="I63" s="58" t="s">
        <v>210</v>
      </c>
    </row>
    <row r="64" spans="1:9">
      <c r="A64" s="34">
        <v>63</v>
      </c>
      <c r="B64" s="42" t="s">
        <v>178</v>
      </c>
      <c r="C64" s="57" t="s">
        <v>211</v>
      </c>
      <c r="D64" s="58" t="s">
        <v>12</v>
      </c>
      <c r="E64" s="59" t="s">
        <v>212</v>
      </c>
      <c r="F64" s="60" t="s">
        <v>102</v>
      </c>
      <c r="G64" s="61" t="s">
        <v>102</v>
      </c>
      <c r="H64" s="48" t="str">
        <f t="shared" si="0"/>
        <v>不开发</v>
      </c>
      <c r="I64" s="58" t="s">
        <v>103</v>
      </c>
    </row>
    <row r="65" ht="17.55" spans="1:9">
      <c r="A65" s="34">
        <v>64</v>
      </c>
      <c r="B65" s="42" t="s">
        <v>178</v>
      </c>
      <c r="C65" s="43" t="s">
        <v>213</v>
      </c>
      <c r="D65" s="44" t="s">
        <v>214</v>
      </c>
      <c r="E65" s="49" t="s">
        <v>215</v>
      </c>
      <c r="F65" s="62" t="s">
        <v>141</v>
      </c>
      <c r="G65" s="63" t="s">
        <v>142</v>
      </c>
      <c r="H65" s="48" t="str">
        <f t="shared" si="0"/>
        <v>三期</v>
      </c>
      <c r="I65" s="49" t="s">
        <v>216</v>
      </c>
    </row>
    <row r="66" spans="1:9">
      <c r="A66" s="34">
        <v>65</v>
      </c>
      <c r="B66" s="35" t="s">
        <v>217</v>
      </c>
      <c r="C66" s="36" t="s">
        <v>218</v>
      </c>
      <c r="D66" s="37" t="s">
        <v>219</v>
      </c>
      <c r="E66" s="51" t="s">
        <v>220</v>
      </c>
      <c r="F66" s="54" t="s">
        <v>56</v>
      </c>
      <c r="G66" s="40" t="s">
        <v>14</v>
      </c>
      <c r="H66" s="41" t="str">
        <f t="shared" ref="H66:H129" si="1">IF($G66="P0","一期",IF($G66="P1","二期",IF($G66="P2","三期",IF($G66="并行","并行推进",IF($G66="待拍板","待定","不开发")))))</f>
        <v>一期</v>
      </c>
      <c r="I66" s="38"/>
    </row>
    <row r="67" spans="1:9">
      <c r="A67" s="34">
        <v>66</v>
      </c>
      <c r="B67" s="42" t="s">
        <v>221</v>
      </c>
      <c r="C67" s="43" t="s">
        <v>222</v>
      </c>
      <c r="D67" s="44" t="s">
        <v>223</v>
      </c>
      <c r="E67" s="49" t="s">
        <v>224</v>
      </c>
      <c r="F67" s="53" t="s">
        <v>56</v>
      </c>
      <c r="G67" s="47" t="s">
        <v>14</v>
      </c>
      <c r="H67" s="48" t="str">
        <f t="shared" si="1"/>
        <v>一期</v>
      </c>
      <c r="I67" s="49" t="s">
        <v>225</v>
      </c>
    </row>
    <row r="68" spans="1:9">
      <c r="A68" s="34">
        <v>67</v>
      </c>
      <c r="B68" s="42" t="s">
        <v>221</v>
      </c>
      <c r="C68" s="43" t="s">
        <v>226</v>
      </c>
      <c r="D68" s="44" t="s">
        <v>227</v>
      </c>
      <c r="E68" s="49" t="s">
        <v>228</v>
      </c>
      <c r="F68" s="53" t="s">
        <v>56</v>
      </c>
      <c r="G68" s="47" t="s">
        <v>14</v>
      </c>
      <c r="H68" s="48" t="str">
        <f t="shared" si="1"/>
        <v>一期</v>
      </c>
      <c r="I68" s="45"/>
    </row>
    <row r="69" spans="1:9">
      <c r="A69" s="34">
        <v>68</v>
      </c>
      <c r="B69" s="42" t="s">
        <v>221</v>
      </c>
      <c r="C69" s="43" t="s">
        <v>229</v>
      </c>
      <c r="D69" s="44" t="s">
        <v>230</v>
      </c>
      <c r="E69" s="49" t="s">
        <v>231</v>
      </c>
      <c r="F69" s="53" t="s">
        <v>56</v>
      </c>
      <c r="G69" s="47" t="s">
        <v>14</v>
      </c>
      <c r="H69" s="48" t="str">
        <f t="shared" si="1"/>
        <v>一期</v>
      </c>
      <c r="I69" s="45"/>
    </row>
    <row r="70" spans="1:9">
      <c r="A70" s="34">
        <v>69</v>
      </c>
      <c r="B70" s="42" t="s">
        <v>221</v>
      </c>
      <c r="C70" s="43" t="s">
        <v>232</v>
      </c>
      <c r="D70" s="44" t="s">
        <v>233</v>
      </c>
      <c r="E70" s="49" t="s">
        <v>234</v>
      </c>
      <c r="F70" s="53" t="s">
        <v>56</v>
      </c>
      <c r="G70" s="47" t="s">
        <v>14</v>
      </c>
      <c r="H70" s="48" t="str">
        <f t="shared" si="1"/>
        <v>一期</v>
      </c>
      <c r="I70" s="45"/>
    </row>
    <row r="71" spans="1:9">
      <c r="A71" s="34">
        <v>70</v>
      </c>
      <c r="B71" s="42" t="s">
        <v>221</v>
      </c>
      <c r="C71" s="43" t="s">
        <v>235</v>
      </c>
      <c r="D71" s="44" t="s">
        <v>236</v>
      </c>
      <c r="E71" s="49" t="s">
        <v>237</v>
      </c>
      <c r="F71" s="53" t="s">
        <v>56</v>
      </c>
      <c r="G71" s="47" t="s">
        <v>14</v>
      </c>
      <c r="H71" s="48" t="str">
        <f t="shared" si="1"/>
        <v>一期</v>
      </c>
      <c r="I71" s="45"/>
    </row>
    <row r="72" ht="28" spans="1:9">
      <c r="A72" s="34">
        <v>71</v>
      </c>
      <c r="B72" s="42" t="s">
        <v>221</v>
      </c>
      <c r="C72" s="43" t="s">
        <v>238</v>
      </c>
      <c r="D72" s="44" t="s">
        <v>239</v>
      </c>
      <c r="E72" s="49" t="s">
        <v>240</v>
      </c>
      <c r="F72" s="53" t="s">
        <v>56</v>
      </c>
      <c r="G72" s="47" t="s">
        <v>14</v>
      </c>
      <c r="H72" s="48" t="str">
        <f t="shared" si="1"/>
        <v>一期</v>
      </c>
      <c r="I72" s="49" t="s">
        <v>241</v>
      </c>
    </row>
    <row r="73" spans="1:9">
      <c r="A73" s="34">
        <v>72</v>
      </c>
      <c r="B73" s="42" t="s">
        <v>221</v>
      </c>
      <c r="C73" s="43" t="s">
        <v>242</v>
      </c>
      <c r="D73" s="44" t="s">
        <v>243</v>
      </c>
      <c r="E73" s="49" t="s">
        <v>244</v>
      </c>
      <c r="F73" s="53" t="s">
        <v>56</v>
      </c>
      <c r="G73" s="47" t="s">
        <v>14</v>
      </c>
      <c r="H73" s="48" t="str">
        <f t="shared" si="1"/>
        <v>一期</v>
      </c>
      <c r="I73" s="45"/>
    </row>
    <row r="74" spans="1:9">
      <c r="A74" s="34">
        <v>73</v>
      </c>
      <c r="B74" s="42" t="s">
        <v>221</v>
      </c>
      <c r="C74" s="43" t="s">
        <v>245</v>
      </c>
      <c r="D74" s="44" t="s">
        <v>246</v>
      </c>
      <c r="E74" s="49" t="s">
        <v>247</v>
      </c>
      <c r="F74" s="53" t="s">
        <v>56</v>
      </c>
      <c r="G74" s="47" t="s">
        <v>14</v>
      </c>
      <c r="H74" s="48" t="str">
        <f t="shared" si="1"/>
        <v>一期</v>
      </c>
      <c r="I74" s="49" t="s">
        <v>248</v>
      </c>
    </row>
    <row r="75" spans="1:9">
      <c r="A75" s="34">
        <v>74</v>
      </c>
      <c r="B75" s="42" t="s">
        <v>221</v>
      </c>
      <c r="C75" s="43" t="s">
        <v>249</v>
      </c>
      <c r="D75" s="44" t="s">
        <v>250</v>
      </c>
      <c r="E75" s="49" t="s">
        <v>251</v>
      </c>
      <c r="F75" s="55" t="s">
        <v>93</v>
      </c>
      <c r="G75" s="56" t="s">
        <v>94</v>
      </c>
      <c r="H75" s="48" t="str">
        <f t="shared" si="1"/>
        <v>待定</v>
      </c>
      <c r="I75" s="49" t="s">
        <v>252</v>
      </c>
    </row>
    <row r="76" spans="1:9">
      <c r="A76" s="34">
        <v>75</v>
      </c>
      <c r="B76" s="42" t="s">
        <v>221</v>
      </c>
      <c r="C76" s="43" t="s">
        <v>253</v>
      </c>
      <c r="D76" s="44" t="s">
        <v>254</v>
      </c>
      <c r="E76" s="49" t="s">
        <v>255</v>
      </c>
      <c r="F76" s="46" t="s">
        <v>13</v>
      </c>
      <c r="G76" s="47" t="s">
        <v>14</v>
      </c>
      <c r="H76" s="48" t="str">
        <f t="shared" si="1"/>
        <v>一期</v>
      </c>
      <c r="I76" s="45"/>
    </row>
    <row r="77" spans="1:9">
      <c r="A77" s="34">
        <v>76</v>
      </c>
      <c r="B77" s="42" t="s">
        <v>221</v>
      </c>
      <c r="C77" s="43" t="s">
        <v>256</v>
      </c>
      <c r="D77" s="44" t="s">
        <v>257</v>
      </c>
      <c r="E77" s="49" t="s">
        <v>256</v>
      </c>
      <c r="F77" s="53" t="s">
        <v>56</v>
      </c>
      <c r="G77" s="50" t="s">
        <v>27</v>
      </c>
      <c r="H77" s="48" t="str">
        <f t="shared" si="1"/>
        <v>二期</v>
      </c>
      <c r="I77" s="45"/>
    </row>
    <row r="78" spans="1:9">
      <c r="A78" s="34">
        <v>77</v>
      </c>
      <c r="B78" s="42" t="s">
        <v>221</v>
      </c>
      <c r="C78" s="43" t="s">
        <v>258</v>
      </c>
      <c r="D78" s="44" t="s">
        <v>259</v>
      </c>
      <c r="E78" s="49" t="s">
        <v>260</v>
      </c>
      <c r="F78" s="55" t="s">
        <v>93</v>
      </c>
      <c r="G78" s="56" t="s">
        <v>94</v>
      </c>
      <c r="H78" s="48" t="str">
        <f t="shared" si="1"/>
        <v>待定</v>
      </c>
      <c r="I78" s="49" t="s">
        <v>261</v>
      </c>
    </row>
    <row r="79" spans="1:9">
      <c r="A79" s="34">
        <v>78</v>
      </c>
      <c r="B79" s="42" t="s">
        <v>221</v>
      </c>
      <c r="C79" s="43" t="s">
        <v>262</v>
      </c>
      <c r="D79" s="44" t="s">
        <v>263</v>
      </c>
      <c r="E79" s="49" t="s">
        <v>264</v>
      </c>
      <c r="F79" s="53" t="s">
        <v>56</v>
      </c>
      <c r="G79" s="50" t="s">
        <v>27</v>
      </c>
      <c r="H79" s="48" t="str">
        <f t="shared" si="1"/>
        <v>二期</v>
      </c>
      <c r="I79" s="45"/>
    </row>
    <row r="80" spans="1:9">
      <c r="A80" s="34">
        <v>79</v>
      </c>
      <c r="B80" s="42" t="s">
        <v>221</v>
      </c>
      <c r="C80" s="43" t="s">
        <v>265</v>
      </c>
      <c r="D80" s="44" t="s">
        <v>266</v>
      </c>
      <c r="E80" s="49" t="s">
        <v>267</v>
      </c>
      <c r="F80" s="53" t="s">
        <v>56</v>
      </c>
      <c r="G80" s="50" t="s">
        <v>27</v>
      </c>
      <c r="H80" s="48" t="str">
        <f t="shared" si="1"/>
        <v>二期</v>
      </c>
      <c r="I80" s="45"/>
    </row>
    <row r="81" spans="1:9">
      <c r="A81" s="34">
        <v>80</v>
      </c>
      <c r="B81" s="42" t="s">
        <v>221</v>
      </c>
      <c r="C81" s="43" t="s">
        <v>268</v>
      </c>
      <c r="D81" s="44" t="s">
        <v>269</v>
      </c>
      <c r="E81" s="49" t="s">
        <v>270</v>
      </c>
      <c r="F81" s="62" t="s">
        <v>141</v>
      </c>
      <c r="G81" s="63" t="s">
        <v>142</v>
      </c>
      <c r="H81" s="48" t="str">
        <f t="shared" si="1"/>
        <v>三期</v>
      </c>
      <c r="I81" s="49" t="s">
        <v>271</v>
      </c>
    </row>
    <row r="82" spans="1:9">
      <c r="A82" s="34">
        <v>81</v>
      </c>
      <c r="B82" s="42" t="s">
        <v>221</v>
      </c>
      <c r="C82" s="57" t="s">
        <v>272</v>
      </c>
      <c r="D82" s="58" t="s">
        <v>12</v>
      </c>
      <c r="E82" s="59" t="s">
        <v>273</v>
      </c>
      <c r="F82" s="60" t="s">
        <v>102</v>
      </c>
      <c r="G82" s="61" t="s">
        <v>102</v>
      </c>
      <c r="H82" s="48" t="str">
        <f t="shared" si="1"/>
        <v>不开发</v>
      </c>
      <c r="I82" s="58" t="s">
        <v>103</v>
      </c>
    </row>
    <row r="83" spans="1:9">
      <c r="A83" s="34">
        <v>82</v>
      </c>
      <c r="B83" s="42" t="s">
        <v>221</v>
      </c>
      <c r="C83" s="57" t="s">
        <v>274</v>
      </c>
      <c r="D83" s="58" t="s">
        <v>12</v>
      </c>
      <c r="E83" s="59" t="s">
        <v>275</v>
      </c>
      <c r="F83" s="60" t="s">
        <v>102</v>
      </c>
      <c r="G83" s="61" t="s">
        <v>102</v>
      </c>
      <c r="H83" s="48" t="str">
        <f t="shared" si="1"/>
        <v>不开发</v>
      </c>
      <c r="I83" s="58" t="s">
        <v>103</v>
      </c>
    </row>
    <row r="84" ht="17.55" spans="1:9">
      <c r="A84" s="34">
        <v>83</v>
      </c>
      <c r="B84" s="42" t="s">
        <v>221</v>
      </c>
      <c r="C84" s="57" t="s">
        <v>276</v>
      </c>
      <c r="D84" s="58" t="s">
        <v>12</v>
      </c>
      <c r="E84" s="58" t="s">
        <v>12</v>
      </c>
      <c r="F84" s="60" t="s">
        <v>102</v>
      </c>
      <c r="G84" s="61" t="s">
        <v>102</v>
      </c>
      <c r="H84" s="48" t="str">
        <f t="shared" si="1"/>
        <v>不开发</v>
      </c>
      <c r="I84" s="58" t="s">
        <v>103</v>
      </c>
    </row>
    <row r="85" spans="1:9">
      <c r="A85" s="34">
        <v>84</v>
      </c>
      <c r="B85" s="35" t="s">
        <v>277</v>
      </c>
      <c r="C85" s="36" t="s">
        <v>278</v>
      </c>
      <c r="D85" s="37" t="s">
        <v>279</v>
      </c>
      <c r="E85" s="51" t="s">
        <v>280</v>
      </c>
      <c r="F85" s="54" t="s">
        <v>56</v>
      </c>
      <c r="G85" s="64" t="s">
        <v>27</v>
      </c>
      <c r="H85" s="41" t="str">
        <f t="shared" si="1"/>
        <v>二期</v>
      </c>
      <c r="I85" s="51" t="s">
        <v>281</v>
      </c>
    </row>
    <row r="86" spans="1:9">
      <c r="A86" s="34">
        <v>85</v>
      </c>
      <c r="B86" s="42" t="s">
        <v>282</v>
      </c>
      <c r="C86" s="43" t="s">
        <v>283</v>
      </c>
      <c r="D86" s="44" t="s">
        <v>284</v>
      </c>
      <c r="E86" s="49" t="s">
        <v>283</v>
      </c>
      <c r="F86" s="53" t="s">
        <v>56</v>
      </c>
      <c r="G86" s="50" t="s">
        <v>27</v>
      </c>
      <c r="H86" s="48" t="str">
        <f t="shared" si="1"/>
        <v>二期</v>
      </c>
      <c r="I86" s="45"/>
    </row>
    <row r="87" spans="1:9">
      <c r="A87" s="34">
        <v>86</v>
      </c>
      <c r="B87" s="42" t="s">
        <v>282</v>
      </c>
      <c r="C87" s="43" t="s">
        <v>285</v>
      </c>
      <c r="D87" s="44" t="s">
        <v>286</v>
      </c>
      <c r="E87" s="49" t="s">
        <v>285</v>
      </c>
      <c r="F87" s="53" t="s">
        <v>56</v>
      </c>
      <c r="G87" s="50" t="s">
        <v>27</v>
      </c>
      <c r="H87" s="48" t="str">
        <f t="shared" si="1"/>
        <v>二期</v>
      </c>
      <c r="I87" s="45"/>
    </row>
    <row r="88" spans="1:9">
      <c r="A88" s="34">
        <v>87</v>
      </c>
      <c r="B88" s="42" t="s">
        <v>282</v>
      </c>
      <c r="C88" s="43" t="s">
        <v>287</v>
      </c>
      <c r="D88" s="44" t="s">
        <v>288</v>
      </c>
      <c r="E88" s="49" t="s">
        <v>289</v>
      </c>
      <c r="F88" s="53" t="s">
        <v>56</v>
      </c>
      <c r="G88" s="50" t="s">
        <v>27</v>
      </c>
      <c r="H88" s="48" t="str">
        <f t="shared" si="1"/>
        <v>二期</v>
      </c>
      <c r="I88" s="45"/>
    </row>
    <row r="89" spans="1:9">
      <c r="A89" s="34">
        <v>88</v>
      </c>
      <c r="B89" s="42" t="s">
        <v>282</v>
      </c>
      <c r="C89" s="43" t="s">
        <v>290</v>
      </c>
      <c r="D89" s="44" t="s">
        <v>291</v>
      </c>
      <c r="E89" s="49" t="s">
        <v>290</v>
      </c>
      <c r="F89" s="53" t="s">
        <v>56</v>
      </c>
      <c r="G89" s="50" t="s">
        <v>27</v>
      </c>
      <c r="H89" s="48" t="str">
        <f t="shared" si="1"/>
        <v>二期</v>
      </c>
      <c r="I89" s="45"/>
    </row>
    <row r="90" spans="1:9">
      <c r="A90" s="34">
        <v>89</v>
      </c>
      <c r="B90" s="42" t="s">
        <v>282</v>
      </c>
      <c r="C90" s="43" t="s">
        <v>292</v>
      </c>
      <c r="D90" s="44" t="s">
        <v>293</v>
      </c>
      <c r="E90" s="49" t="s">
        <v>294</v>
      </c>
      <c r="F90" s="53" t="s">
        <v>56</v>
      </c>
      <c r="G90" s="50" t="s">
        <v>27</v>
      </c>
      <c r="H90" s="48" t="str">
        <f t="shared" si="1"/>
        <v>二期</v>
      </c>
      <c r="I90" s="45"/>
    </row>
    <row r="91" ht="17.55" spans="1:9">
      <c r="A91" s="34">
        <v>90</v>
      </c>
      <c r="B91" s="42" t="s">
        <v>282</v>
      </c>
      <c r="C91" s="43" t="s">
        <v>295</v>
      </c>
      <c r="D91" s="44" t="s">
        <v>296</v>
      </c>
      <c r="E91" s="45" t="s">
        <v>12</v>
      </c>
      <c r="F91" s="46" t="s">
        <v>13</v>
      </c>
      <c r="G91" s="63" t="s">
        <v>142</v>
      </c>
      <c r="H91" s="48" t="str">
        <f t="shared" si="1"/>
        <v>三期</v>
      </c>
      <c r="I91" s="45"/>
    </row>
    <row r="92" spans="1:9">
      <c r="A92" s="34">
        <v>91</v>
      </c>
      <c r="B92" s="35" t="s">
        <v>297</v>
      </c>
      <c r="C92" s="36" t="s">
        <v>298</v>
      </c>
      <c r="D92" s="37" t="s">
        <v>299</v>
      </c>
      <c r="E92" s="51" t="s">
        <v>300</v>
      </c>
      <c r="F92" s="54" t="s">
        <v>56</v>
      </c>
      <c r="G92" s="64" t="s">
        <v>27</v>
      </c>
      <c r="H92" s="41" t="str">
        <f t="shared" si="1"/>
        <v>二期</v>
      </c>
      <c r="I92" s="51" t="s">
        <v>301</v>
      </c>
    </row>
    <row r="93" spans="1:9">
      <c r="A93" s="34">
        <v>92</v>
      </c>
      <c r="B93" s="42" t="s">
        <v>302</v>
      </c>
      <c r="C93" s="43" t="s">
        <v>303</v>
      </c>
      <c r="D93" s="44" t="s">
        <v>304</v>
      </c>
      <c r="E93" s="49" t="s">
        <v>305</v>
      </c>
      <c r="F93" s="53" t="s">
        <v>56</v>
      </c>
      <c r="G93" s="50" t="s">
        <v>27</v>
      </c>
      <c r="H93" s="48" t="str">
        <f t="shared" si="1"/>
        <v>二期</v>
      </c>
      <c r="I93" s="45"/>
    </row>
    <row r="94" spans="1:9">
      <c r="A94" s="34">
        <v>93</v>
      </c>
      <c r="B94" s="42" t="s">
        <v>302</v>
      </c>
      <c r="C94" s="43" t="s">
        <v>306</v>
      </c>
      <c r="D94" s="44" t="s">
        <v>307</v>
      </c>
      <c r="E94" s="49" t="s">
        <v>308</v>
      </c>
      <c r="F94" s="52" t="s">
        <v>156</v>
      </c>
      <c r="G94" s="50" t="s">
        <v>27</v>
      </c>
      <c r="H94" s="48" t="str">
        <f t="shared" si="1"/>
        <v>二期</v>
      </c>
      <c r="I94" s="45"/>
    </row>
    <row r="95" spans="1:9">
      <c r="A95" s="34">
        <v>94</v>
      </c>
      <c r="B95" s="42" t="s">
        <v>302</v>
      </c>
      <c r="C95" s="43" t="s">
        <v>309</v>
      </c>
      <c r="D95" s="44" t="s">
        <v>310</v>
      </c>
      <c r="E95" s="49" t="s">
        <v>311</v>
      </c>
      <c r="F95" s="53" t="s">
        <v>56</v>
      </c>
      <c r="G95" s="50" t="s">
        <v>27</v>
      </c>
      <c r="H95" s="48" t="str">
        <f t="shared" si="1"/>
        <v>二期</v>
      </c>
      <c r="I95" s="45"/>
    </row>
    <row r="96" spans="1:9">
      <c r="A96" s="34">
        <v>95</v>
      </c>
      <c r="B96" s="42" t="s">
        <v>302</v>
      </c>
      <c r="C96" s="43" t="s">
        <v>312</v>
      </c>
      <c r="D96" s="44" t="s">
        <v>313</v>
      </c>
      <c r="E96" s="49" t="s">
        <v>314</v>
      </c>
      <c r="F96" s="55" t="s">
        <v>93</v>
      </c>
      <c r="G96" s="56" t="s">
        <v>94</v>
      </c>
      <c r="H96" s="48" t="str">
        <f t="shared" si="1"/>
        <v>待定</v>
      </c>
      <c r="I96" s="45" t="s">
        <v>315</v>
      </c>
    </row>
    <row r="97" spans="1:9">
      <c r="A97" s="34">
        <v>96</v>
      </c>
      <c r="B97" s="42" t="s">
        <v>302</v>
      </c>
      <c r="C97" s="43" t="s">
        <v>316</v>
      </c>
      <c r="D97" s="44" t="s">
        <v>317</v>
      </c>
      <c r="E97" s="45" t="s">
        <v>12</v>
      </c>
      <c r="F97" s="46" t="s">
        <v>13</v>
      </c>
      <c r="G97" s="50" t="s">
        <v>27</v>
      </c>
      <c r="H97" s="48" t="str">
        <f t="shared" si="1"/>
        <v>二期</v>
      </c>
      <c r="I97" s="45"/>
    </row>
    <row r="98" spans="1:9">
      <c r="A98" s="34">
        <v>97</v>
      </c>
      <c r="B98" s="42" t="s">
        <v>302</v>
      </c>
      <c r="C98" s="43" t="s">
        <v>318</v>
      </c>
      <c r="D98" s="44" t="s">
        <v>319</v>
      </c>
      <c r="E98" s="45" t="s">
        <v>12</v>
      </c>
      <c r="F98" s="46" t="s">
        <v>13</v>
      </c>
      <c r="G98" s="63" t="s">
        <v>142</v>
      </c>
      <c r="H98" s="48" t="str">
        <f t="shared" si="1"/>
        <v>三期</v>
      </c>
      <c r="I98" s="45"/>
    </row>
    <row r="99" spans="1:9">
      <c r="A99" s="34">
        <v>98</v>
      </c>
      <c r="B99" s="42" t="s">
        <v>302</v>
      </c>
      <c r="C99" s="43" t="s">
        <v>320</v>
      </c>
      <c r="D99" s="44" t="s">
        <v>321</v>
      </c>
      <c r="E99" s="49" t="s">
        <v>322</v>
      </c>
      <c r="F99" s="53" t="s">
        <v>56</v>
      </c>
      <c r="G99" s="50" t="s">
        <v>27</v>
      </c>
      <c r="H99" s="48" t="str">
        <f t="shared" si="1"/>
        <v>二期</v>
      </c>
      <c r="I99" s="49" t="s">
        <v>323</v>
      </c>
    </row>
    <row r="100" spans="1:9">
      <c r="A100" s="34">
        <v>99</v>
      </c>
      <c r="B100" s="42" t="s">
        <v>302</v>
      </c>
      <c r="C100" s="43" t="s">
        <v>324</v>
      </c>
      <c r="D100" s="44" t="s">
        <v>325</v>
      </c>
      <c r="E100" s="49" t="s">
        <v>326</v>
      </c>
      <c r="F100" s="53" t="s">
        <v>56</v>
      </c>
      <c r="G100" s="50" t="s">
        <v>27</v>
      </c>
      <c r="H100" s="48" t="str">
        <f t="shared" si="1"/>
        <v>二期</v>
      </c>
      <c r="I100" s="45"/>
    </row>
    <row r="101" spans="1:9">
      <c r="A101" s="34">
        <v>100</v>
      </c>
      <c r="B101" s="42" t="s">
        <v>302</v>
      </c>
      <c r="C101" s="43" t="s">
        <v>327</v>
      </c>
      <c r="D101" s="44" t="s">
        <v>328</v>
      </c>
      <c r="E101" s="49" t="s">
        <v>329</v>
      </c>
      <c r="F101" s="53" t="s">
        <v>56</v>
      </c>
      <c r="G101" s="50" t="s">
        <v>27</v>
      </c>
      <c r="H101" s="48" t="str">
        <f t="shared" si="1"/>
        <v>二期</v>
      </c>
      <c r="I101" s="45"/>
    </row>
    <row r="102" spans="1:9">
      <c r="A102" s="34">
        <v>101</v>
      </c>
      <c r="B102" s="42" t="s">
        <v>302</v>
      </c>
      <c r="C102" s="43" t="s">
        <v>330</v>
      </c>
      <c r="D102" s="44" t="s">
        <v>331</v>
      </c>
      <c r="E102" s="45" t="s">
        <v>12</v>
      </c>
      <c r="F102" s="46" t="s">
        <v>13</v>
      </c>
      <c r="G102" s="63" t="s">
        <v>142</v>
      </c>
      <c r="H102" s="48" t="str">
        <f t="shared" si="1"/>
        <v>三期</v>
      </c>
      <c r="I102" s="45"/>
    </row>
    <row r="103" spans="1:9">
      <c r="A103" s="34">
        <v>102</v>
      </c>
      <c r="B103" s="42" t="s">
        <v>302</v>
      </c>
      <c r="C103" s="57" t="s">
        <v>332</v>
      </c>
      <c r="D103" s="58" t="s">
        <v>12</v>
      </c>
      <c r="E103" s="59" t="s">
        <v>333</v>
      </c>
      <c r="F103" s="60" t="s">
        <v>102</v>
      </c>
      <c r="G103" s="61" t="s">
        <v>102</v>
      </c>
      <c r="H103" s="48" t="str">
        <f t="shared" si="1"/>
        <v>不开发</v>
      </c>
      <c r="I103" s="58" t="s">
        <v>103</v>
      </c>
    </row>
    <row r="104" ht="17.55" spans="1:9">
      <c r="A104" s="34">
        <v>103</v>
      </c>
      <c r="B104" s="42" t="s">
        <v>302</v>
      </c>
      <c r="C104" s="57" t="s">
        <v>334</v>
      </c>
      <c r="D104" s="58" t="s">
        <v>12</v>
      </c>
      <c r="E104" s="59" t="s">
        <v>335</v>
      </c>
      <c r="F104" s="60" t="s">
        <v>102</v>
      </c>
      <c r="G104" s="61" t="s">
        <v>102</v>
      </c>
      <c r="H104" s="48" t="str">
        <f t="shared" si="1"/>
        <v>不开发</v>
      </c>
      <c r="I104" s="59" t="s">
        <v>336</v>
      </c>
    </row>
    <row r="105" spans="1:9">
      <c r="A105" s="34">
        <v>104</v>
      </c>
      <c r="B105" s="35" t="s">
        <v>337</v>
      </c>
      <c r="C105" s="36" t="s">
        <v>338</v>
      </c>
      <c r="D105" s="37" t="s">
        <v>339</v>
      </c>
      <c r="E105" s="51" t="s">
        <v>340</v>
      </c>
      <c r="F105" s="54" t="s">
        <v>56</v>
      </c>
      <c r="G105" s="40" t="s">
        <v>14</v>
      </c>
      <c r="H105" s="41" t="str">
        <f t="shared" si="1"/>
        <v>一期</v>
      </c>
      <c r="I105" s="38"/>
    </row>
    <row r="106" spans="1:9">
      <c r="A106" s="34">
        <v>105</v>
      </c>
      <c r="B106" s="42" t="s">
        <v>341</v>
      </c>
      <c r="C106" s="43" t="s">
        <v>342</v>
      </c>
      <c r="D106" s="44" t="s">
        <v>343</v>
      </c>
      <c r="E106" s="49" t="s">
        <v>46</v>
      </c>
      <c r="F106" s="53" t="s">
        <v>56</v>
      </c>
      <c r="G106" s="47" t="s">
        <v>14</v>
      </c>
      <c r="H106" s="48" t="str">
        <f t="shared" si="1"/>
        <v>一期</v>
      </c>
      <c r="I106" s="45"/>
    </row>
    <row r="107" spans="1:9">
      <c r="A107" s="34">
        <v>106</v>
      </c>
      <c r="B107" s="42" t="s">
        <v>341</v>
      </c>
      <c r="C107" s="43" t="s">
        <v>344</v>
      </c>
      <c r="D107" s="44" t="s">
        <v>345</v>
      </c>
      <c r="E107" s="49" t="s">
        <v>46</v>
      </c>
      <c r="F107" s="53" t="s">
        <v>56</v>
      </c>
      <c r="G107" s="47" t="s">
        <v>14</v>
      </c>
      <c r="H107" s="48" t="str">
        <f t="shared" si="1"/>
        <v>一期</v>
      </c>
      <c r="I107" s="45"/>
    </row>
    <row r="108" spans="1:9">
      <c r="A108" s="34">
        <v>107</v>
      </c>
      <c r="B108" s="42" t="s">
        <v>341</v>
      </c>
      <c r="C108" s="43" t="s">
        <v>346</v>
      </c>
      <c r="D108" s="44" t="s">
        <v>347</v>
      </c>
      <c r="E108" s="45" t="s">
        <v>12</v>
      </c>
      <c r="F108" s="46" t="s">
        <v>13</v>
      </c>
      <c r="G108" s="50" t="s">
        <v>27</v>
      </c>
      <c r="H108" s="48" t="str">
        <f t="shared" si="1"/>
        <v>二期</v>
      </c>
      <c r="I108" s="45"/>
    </row>
    <row r="109" spans="1:9">
      <c r="A109" s="34">
        <v>108</v>
      </c>
      <c r="B109" s="42" t="s">
        <v>341</v>
      </c>
      <c r="C109" s="43" t="s">
        <v>348</v>
      </c>
      <c r="D109" s="44" t="s">
        <v>349</v>
      </c>
      <c r="E109" s="49" t="s">
        <v>350</v>
      </c>
      <c r="F109" s="53" t="s">
        <v>56</v>
      </c>
      <c r="G109" s="50" t="s">
        <v>27</v>
      </c>
      <c r="H109" s="48" t="str">
        <f t="shared" si="1"/>
        <v>二期</v>
      </c>
      <c r="I109" s="45"/>
    </row>
    <row r="110" spans="1:9">
      <c r="A110" s="34">
        <v>109</v>
      </c>
      <c r="B110" s="42" t="s">
        <v>341</v>
      </c>
      <c r="C110" s="57" t="s">
        <v>351</v>
      </c>
      <c r="D110" s="58" t="s">
        <v>12</v>
      </c>
      <c r="E110" s="59" t="s">
        <v>352</v>
      </c>
      <c r="F110" s="60" t="s">
        <v>102</v>
      </c>
      <c r="G110" s="61" t="s">
        <v>102</v>
      </c>
      <c r="H110" s="48" t="str">
        <f t="shared" si="1"/>
        <v>不开发</v>
      </c>
      <c r="I110" s="59" t="s">
        <v>353</v>
      </c>
    </row>
    <row r="111" ht="17.55" spans="1:9">
      <c r="A111" s="34">
        <v>110</v>
      </c>
      <c r="B111" s="42" t="s">
        <v>341</v>
      </c>
      <c r="C111" s="57" t="s">
        <v>354</v>
      </c>
      <c r="D111" s="58" t="s">
        <v>12</v>
      </c>
      <c r="E111" s="59" t="s">
        <v>46</v>
      </c>
      <c r="F111" s="60" t="s">
        <v>102</v>
      </c>
      <c r="G111" s="61" t="s">
        <v>102</v>
      </c>
      <c r="H111" s="48" t="str">
        <f t="shared" si="1"/>
        <v>不开发</v>
      </c>
      <c r="I111" s="58" t="s">
        <v>103</v>
      </c>
    </row>
    <row r="112" spans="1:9">
      <c r="A112" s="34">
        <v>111</v>
      </c>
      <c r="B112" s="35" t="s">
        <v>355</v>
      </c>
      <c r="C112" s="36" t="s">
        <v>356</v>
      </c>
      <c r="D112" s="37" t="s">
        <v>357</v>
      </c>
      <c r="E112" s="51" t="s">
        <v>358</v>
      </c>
      <c r="F112" s="54" t="s">
        <v>56</v>
      </c>
      <c r="G112" s="64" t="s">
        <v>27</v>
      </c>
      <c r="H112" s="41" t="str">
        <f t="shared" si="1"/>
        <v>二期</v>
      </c>
      <c r="I112" s="38"/>
    </row>
    <row r="113" spans="1:9">
      <c r="A113" s="34">
        <v>112</v>
      </c>
      <c r="B113" s="42" t="s">
        <v>359</v>
      </c>
      <c r="C113" s="43" t="s">
        <v>360</v>
      </c>
      <c r="D113" s="44" t="s">
        <v>361</v>
      </c>
      <c r="E113" s="49" t="s">
        <v>362</v>
      </c>
      <c r="F113" s="53" t="s">
        <v>56</v>
      </c>
      <c r="G113" s="50" t="s">
        <v>27</v>
      </c>
      <c r="H113" s="48" t="str">
        <f t="shared" si="1"/>
        <v>二期</v>
      </c>
      <c r="I113" s="45"/>
    </row>
    <row r="114" ht="28" spans="1:9">
      <c r="A114" s="34">
        <v>113</v>
      </c>
      <c r="B114" s="42" t="s">
        <v>359</v>
      </c>
      <c r="C114" s="43" t="s">
        <v>363</v>
      </c>
      <c r="D114" s="44" t="s">
        <v>364</v>
      </c>
      <c r="E114" s="49" t="s">
        <v>365</v>
      </c>
      <c r="F114" s="52" t="s">
        <v>37</v>
      </c>
      <c r="G114" s="50" t="s">
        <v>27</v>
      </c>
      <c r="H114" s="48" t="str">
        <f t="shared" si="1"/>
        <v>二期</v>
      </c>
      <c r="I114" s="49" t="s">
        <v>366</v>
      </c>
    </row>
    <row r="115" spans="1:9">
      <c r="A115" s="34">
        <v>114</v>
      </c>
      <c r="B115" s="42" t="s">
        <v>359</v>
      </c>
      <c r="C115" s="43" t="s">
        <v>367</v>
      </c>
      <c r="D115" s="44" t="s">
        <v>368</v>
      </c>
      <c r="E115" s="49" t="s">
        <v>369</v>
      </c>
      <c r="F115" s="55" t="s">
        <v>93</v>
      </c>
      <c r="G115" s="56" t="s">
        <v>94</v>
      </c>
      <c r="H115" s="48" t="str">
        <f t="shared" si="1"/>
        <v>待定</v>
      </c>
      <c r="I115" s="49" t="s">
        <v>370</v>
      </c>
    </row>
    <row r="116" spans="1:9">
      <c r="A116" s="34">
        <v>115</v>
      </c>
      <c r="B116" s="42" t="s">
        <v>359</v>
      </c>
      <c r="C116" s="43" t="s">
        <v>371</v>
      </c>
      <c r="D116" s="44" t="s">
        <v>372</v>
      </c>
      <c r="E116" s="45" t="s">
        <v>12</v>
      </c>
      <c r="F116" s="46" t="s">
        <v>13</v>
      </c>
      <c r="G116" s="63" t="s">
        <v>142</v>
      </c>
      <c r="H116" s="48" t="str">
        <f t="shared" si="1"/>
        <v>三期</v>
      </c>
      <c r="I116" s="45"/>
    </row>
    <row r="117" spans="1:9">
      <c r="A117" s="34">
        <v>116</v>
      </c>
      <c r="B117" s="42" t="s">
        <v>359</v>
      </c>
      <c r="C117" s="43" t="s">
        <v>373</v>
      </c>
      <c r="D117" s="44" t="s">
        <v>374</v>
      </c>
      <c r="E117" s="45" t="s">
        <v>12</v>
      </c>
      <c r="F117" s="46" t="s">
        <v>13</v>
      </c>
      <c r="G117" s="63" t="s">
        <v>142</v>
      </c>
      <c r="H117" s="48" t="str">
        <f t="shared" si="1"/>
        <v>三期</v>
      </c>
      <c r="I117" s="45"/>
    </row>
    <row r="118" spans="1:9">
      <c r="A118" s="34">
        <v>117</v>
      </c>
      <c r="B118" s="42" t="s">
        <v>359</v>
      </c>
      <c r="C118" s="43" t="s">
        <v>375</v>
      </c>
      <c r="D118" s="44" t="s">
        <v>376</v>
      </c>
      <c r="E118" s="49" t="s">
        <v>377</v>
      </c>
      <c r="F118" s="55" t="s">
        <v>93</v>
      </c>
      <c r="G118" s="56" t="s">
        <v>94</v>
      </c>
      <c r="H118" s="48" t="str">
        <f t="shared" si="1"/>
        <v>待定</v>
      </c>
      <c r="I118" s="49" t="s">
        <v>205</v>
      </c>
    </row>
    <row r="119" spans="1:9">
      <c r="A119" s="34">
        <v>118</v>
      </c>
      <c r="B119" s="42" t="s">
        <v>359</v>
      </c>
      <c r="C119" s="43" t="s">
        <v>378</v>
      </c>
      <c r="D119" s="44" t="s">
        <v>379</v>
      </c>
      <c r="E119" s="49" t="s">
        <v>380</v>
      </c>
      <c r="F119" s="55" t="s">
        <v>93</v>
      </c>
      <c r="G119" s="56" t="s">
        <v>94</v>
      </c>
      <c r="H119" s="48" t="str">
        <f t="shared" si="1"/>
        <v>待定</v>
      </c>
      <c r="I119" s="49" t="s">
        <v>381</v>
      </c>
    </row>
    <row r="120" ht="17.55" spans="1:9">
      <c r="A120" s="34">
        <v>119</v>
      </c>
      <c r="B120" s="42" t="s">
        <v>359</v>
      </c>
      <c r="C120" s="57" t="s">
        <v>382</v>
      </c>
      <c r="D120" s="59" t="s">
        <v>383</v>
      </c>
      <c r="E120" s="58" t="s">
        <v>12</v>
      </c>
      <c r="F120" s="60" t="s">
        <v>102</v>
      </c>
      <c r="G120" s="61" t="s">
        <v>102</v>
      </c>
      <c r="H120" s="48" t="str">
        <f t="shared" si="1"/>
        <v>不开发</v>
      </c>
      <c r="I120" s="58"/>
    </row>
    <row r="121" spans="1:9">
      <c r="A121" s="34">
        <v>120</v>
      </c>
      <c r="B121" s="35" t="s">
        <v>384</v>
      </c>
      <c r="C121" s="36" t="s">
        <v>385</v>
      </c>
      <c r="D121" s="37" t="s">
        <v>386</v>
      </c>
      <c r="E121" s="51" t="s">
        <v>387</v>
      </c>
      <c r="F121" s="66" t="s">
        <v>141</v>
      </c>
      <c r="G121" s="67" t="s">
        <v>142</v>
      </c>
      <c r="H121" s="41" t="str">
        <f t="shared" si="1"/>
        <v>三期</v>
      </c>
      <c r="I121" s="51" t="s">
        <v>388</v>
      </c>
    </row>
    <row r="122" spans="1:9">
      <c r="A122" s="34">
        <v>121</v>
      </c>
      <c r="B122" s="42" t="s">
        <v>389</v>
      </c>
      <c r="C122" s="43" t="s">
        <v>390</v>
      </c>
      <c r="D122" s="44" t="s">
        <v>391</v>
      </c>
      <c r="E122" s="49" t="s">
        <v>392</v>
      </c>
      <c r="F122" s="62" t="s">
        <v>141</v>
      </c>
      <c r="G122" s="63" t="s">
        <v>142</v>
      </c>
      <c r="H122" s="48" t="str">
        <f t="shared" si="1"/>
        <v>三期</v>
      </c>
      <c r="I122" s="45"/>
    </row>
    <row r="123" spans="1:9">
      <c r="A123" s="34">
        <v>122</v>
      </c>
      <c r="B123" s="42" t="s">
        <v>389</v>
      </c>
      <c r="C123" s="43" t="s">
        <v>393</v>
      </c>
      <c r="D123" s="44" t="s">
        <v>394</v>
      </c>
      <c r="E123" s="49" t="s">
        <v>395</v>
      </c>
      <c r="F123" s="62" t="s">
        <v>141</v>
      </c>
      <c r="G123" s="63" t="s">
        <v>142</v>
      </c>
      <c r="H123" s="48" t="str">
        <f t="shared" si="1"/>
        <v>三期</v>
      </c>
      <c r="I123" s="45"/>
    </row>
    <row r="124" spans="1:9">
      <c r="A124" s="34">
        <v>123</v>
      </c>
      <c r="B124" s="42" t="s">
        <v>389</v>
      </c>
      <c r="C124" s="43" t="s">
        <v>396</v>
      </c>
      <c r="D124" s="44" t="s">
        <v>397</v>
      </c>
      <c r="E124" s="49" t="s">
        <v>398</v>
      </c>
      <c r="F124" s="62" t="s">
        <v>141</v>
      </c>
      <c r="G124" s="63" t="s">
        <v>142</v>
      </c>
      <c r="H124" s="48" t="str">
        <f t="shared" si="1"/>
        <v>三期</v>
      </c>
      <c r="I124" s="45"/>
    </row>
    <row r="125" spans="1:9">
      <c r="A125" s="34">
        <v>124</v>
      </c>
      <c r="B125" s="42" t="s">
        <v>389</v>
      </c>
      <c r="C125" s="43" t="s">
        <v>399</v>
      </c>
      <c r="D125" s="44" t="s">
        <v>400</v>
      </c>
      <c r="E125" s="49" t="s">
        <v>401</v>
      </c>
      <c r="F125" s="62" t="s">
        <v>141</v>
      </c>
      <c r="G125" s="63" t="s">
        <v>142</v>
      </c>
      <c r="H125" s="48" t="str">
        <f t="shared" si="1"/>
        <v>三期</v>
      </c>
      <c r="I125" s="49" t="s">
        <v>402</v>
      </c>
    </row>
    <row r="126" spans="1:9">
      <c r="A126" s="34">
        <v>125</v>
      </c>
      <c r="B126" s="42" t="s">
        <v>389</v>
      </c>
      <c r="C126" s="43" t="s">
        <v>403</v>
      </c>
      <c r="D126" s="44" t="s">
        <v>404</v>
      </c>
      <c r="E126" s="49" t="s">
        <v>403</v>
      </c>
      <c r="F126" s="62" t="s">
        <v>141</v>
      </c>
      <c r="G126" s="63" t="s">
        <v>142</v>
      </c>
      <c r="H126" s="48" t="str">
        <f t="shared" si="1"/>
        <v>三期</v>
      </c>
      <c r="I126" s="49" t="s">
        <v>405</v>
      </c>
    </row>
    <row r="127" spans="1:9">
      <c r="A127" s="34">
        <v>126</v>
      </c>
      <c r="B127" s="42" t="s">
        <v>389</v>
      </c>
      <c r="C127" s="43" t="s">
        <v>406</v>
      </c>
      <c r="D127" s="44" t="s">
        <v>407</v>
      </c>
      <c r="E127" s="49" t="s">
        <v>408</v>
      </c>
      <c r="F127" s="62" t="s">
        <v>141</v>
      </c>
      <c r="G127" s="63" t="s">
        <v>142</v>
      </c>
      <c r="H127" s="48" t="str">
        <f t="shared" si="1"/>
        <v>三期</v>
      </c>
      <c r="I127" s="45"/>
    </row>
    <row r="128" ht="28" spans="1:9">
      <c r="A128" s="34">
        <v>127</v>
      </c>
      <c r="B128" s="42" t="s">
        <v>389</v>
      </c>
      <c r="C128" s="43" t="s">
        <v>409</v>
      </c>
      <c r="D128" s="44" t="s">
        <v>410</v>
      </c>
      <c r="E128" s="49" t="s">
        <v>411</v>
      </c>
      <c r="F128" s="55" t="s">
        <v>93</v>
      </c>
      <c r="G128" s="56" t="s">
        <v>94</v>
      </c>
      <c r="H128" s="48" t="str">
        <f t="shared" si="1"/>
        <v>待定</v>
      </c>
      <c r="I128" s="49" t="s">
        <v>412</v>
      </c>
    </row>
    <row r="129" spans="1:9">
      <c r="A129" s="34">
        <v>128</v>
      </c>
      <c r="B129" s="42" t="s">
        <v>389</v>
      </c>
      <c r="C129" s="43" t="s">
        <v>413</v>
      </c>
      <c r="D129" s="44" t="s">
        <v>414</v>
      </c>
      <c r="E129" s="45" t="s">
        <v>12</v>
      </c>
      <c r="F129" s="46" t="s">
        <v>13</v>
      </c>
      <c r="G129" s="63" t="s">
        <v>142</v>
      </c>
      <c r="H129" s="48" t="str">
        <f t="shared" si="1"/>
        <v>三期</v>
      </c>
      <c r="I129" s="45"/>
    </row>
    <row r="130" ht="17.55" spans="1:9">
      <c r="A130" s="34">
        <v>129</v>
      </c>
      <c r="B130" s="42" t="s">
        <v>389</v>
      </c>
      <c r="C130" s="57" t="s">
        <v>415</v>
      </c>
      <c r="D130" s="58" t="s">
        <v>12</v>
      </c>
      <c r="E130" s="58" t="s">
        <v>12</v>
      </c>
      <c r="F130" s="60" t="s">
        <v>102</v>
      </c>
      <c r="G130" s="61" t="s">
        <v>102</v>
      </c>
      <c r="H130" s="48" t="str">
        <f t="shared" ref="H130:H143" si="2">IF($G130="P0","一期",IF($G130="P1","二期",IF($G130="P2","三期",IF($G130="并行","并行推进",IF($G130="待拍板","待定","不开发")))))</f>
        <v>不开发</v>
      </c>
      <c r="I130" s="58" t="s">
        <v>103</v>
      </c>
    </row>
    <row r="131" spans="1:9">
      <c r="A131" s="34">
        <v>130</v>
      </c>
      <c r="B131" s="35" t="s">
        <v>416</v>
      </c>
      <c r="C131" s="36" t="s">
        <v>417</v>
      </c>
      <c r="D131" s="37" t="s">
        <v>418</v>
      </c>
      <c r="E131" s="38" t="s">
        <v>12</v>
      </c>
      <c r="F131" s="39" t="s">
        <v>13</v>
      </c>
      <c r="G131" s="67" t="s">
        <v>142</v>
      </c>
      <c r="H131" s="41" t="str">
        <f t="shared" si="2"/>
        <v>三期</v>
      </c>
      <c r="I131" s="38" t="s">
        <v>419</v>
      </c>
    </row>
    <row r="132" spans="1:9">
      <c r="A132" s="34">
        <v>131</v>
      </c>
      <c r="B132" s="42" t="s">
        <v>420</v>
      </c>
      <c r="C132" s="68" t="s">
        <v>421</v>
      </c>
      <c r="D132" s="69" t="s">
        <v>422</v>
      </c>
      <c r="E132" s="45" t="s">
        <v>12</v>
      </c>
      <c r="F132" s="46" t="s">
        <v>13</v>
      </c>
      <c r="G132" s="63" t="s">
        <v>142</v>
      </c>
      <c r="H132" s="48" t="str">
        <f t="shared" si="2"/>
        <v>三期</v>
      </c>
      <c r="I132" s="45"/>
    </row>
    <row r="133" spans="1:9">
      <c r="A133" s="34">
        <v>132</v>
      </c>
      <c r="B133" s="42" t="s">
        <v>420</v>
      </c>
      <c r="C133" s="43" t="s">
        <v>423</v>
      </c>
      <c r="D133" s="44" t="s">
        <v>424</v>
      </c>
      <c r="E133" s="45" t="s">
        <v>12</v>
      </c>
      <c r="F133" s="46" t="s">
        <v>13</v>
      </c>
      <c r="G133" s="63" t="s">
        <v>142</v>
      </c>
      <c r="H133" s="48" t="str">
        <f t="shared" si="2"/>
        <v>三期</v>
      </c>
      <c r="I133" s="45"/>
    </row>
    <row r="134" spans="1:9">
      <c r="A134" s="34">
        <v>133</v>
      </c>
      <c r="B134" s="42" t="s">
        <v>420</v>
      </c>
      <c r="C134" s="43" t="s">
        <v>425</v>
      </c>
      <c r="D134" s="44" t="s">
        <v>426</v>
      </c>
      <c r="E134" s="45" t="s">
        <v>12</v>
      </c>
      <c r="F134" s="46" t="s">
        <v>13</v>
      </c>
      <c r="G134" s="63" t="s">
        <v>142</v>
      </c>
      <c r="H134" s="48" t="str">
        <f t="shared" si="2"/>
        <v>三期</v>
      </c>
      <c r="I134" s="45"/>
    </row>
    <row r="135" spans="1:9">
      <c r="A135" s="34">
        <v>134</v>
      </c>
      <c r="B135" s="42" t="s">
        <v>420</v>
      </c>
      <c r="C135" s="43" t="s">
        <v>427</v>
      </c>
      <c r="D135" s="44" t="s">
        <v>428</v>
      </c>
      <c r="E135" s="45" t="s">
        <v>12</v>
      </c>
      <c r="F135" s="46" t="s">
        <v>13</v>
      </c>
      <c r="G135" s="63" t="s">
        <v>142</v>
      </c>
      <c r="H135" s="48" t="str">
        <f t="shared" si="2"/>
        <v>三期</v>
      </c>
      <c r="I135" s="45"/>
    </row>
    <row r="136" spans="1:9">
      <c r="A136" s="34">
        <v>135</v>
      </c>
      <c r="B136" s="42" t="s">
        <v>420</v>
      </c>
      <c r="C136" s="43" t="s">
        <v>429</v>
      </c>
      <c r="D136" s="44" t="s">
        <v>430</v>
      </c>
      <c r="E136" s="45" t="s">
        <v>12</v>
      </c>
      <c r="F136" s="46" t="s">
        <v>13</v>
      </c>
      <c r="G136" s="63" t="s">
        <v>142</v>
      </c>
      <c r="H136" s="48" t="str">
        <f t="shared" si="2"/>
        <v>三期</v>
      </c>
      <c r="I136" s="45"/>
    </row>
    <row r="137" spans="1:9">
      <c r="A137" s="34">
        <v>136</v>
      </c>
      <c r="B137" s="42" t="s">
        <v>420</v>
      </c>
      <c r="C137" s="43" t="s">
        <v>431</v>
      </c>
      <c r="D137" s="44" t="s">
        <v>432</v>
      </c>
      <c r="E137" s="45" t="s">
        <v>12</v>
      </c>
      <c r="F137" s="46" t="s">
        <v>13</v>
      </c>
      <c r="G137" s="63" t="s">
        <v>142</v>
      </c>
      <c r="H137" s="48" t="str">
        <f t="shared" si="2"/>
        <v>三期</v>
      </c>
      <c r="I137" s="45"/>
    </row>
    <row r="138" ht="17.55" spans="1:9">
      <c r="A138" s="34">
        <v>137</v>
      </c>
      <c r="B138" s="42" t="s">
        <v>420</v>
      </c>
      <c r="C138" s="43" t="s">
        <v>433</v>
      </c>
      <c r="D138" s="44" t="s">
        <v>434</v>
      </c>
      <c r="E138" s="45" t="s">
        <v>12</v>
      </c>
      <c r="F138" s="46" t="s">
        <v>13</v>
      </c>
      <c r="G138" s="63" t="s">
        <v>142</v>
      </c>
      <c r="H138" s="48" t="str">
        <f t="shared" si="2"/>
        <v>三期</v>
      </c>
      <c r="I138" s="45"/>
    </row>
    <row r="139" spans="1:9">
      <c r="A139" s="34">
        <v>138</v>
      </c>
      <c r="B139" s="35" t="s">
        <v>435</v>
      </c>
      <c r="C139" s="70" t="s">
        <v>436</v>
      </c>
      <c r="D139" s="37" t="s">
        <v>437</v>
      </c>
      <c r="E139" s="38" t="s">
        <v>12</v>
      </c>
      <c r="F139" s="39" t="s">
        <v>13</v>
      </c>
      <c r="G139" s="71" t="s">
        <v>438</v>
      </c>
      <c r="H139" s="41" t="str">
        <f t="shared" si="2"/>
        <v>并行推进</v>
      </c>
      <c r="I139" s="51" t="s">
        <v>439</v>
      </c>
    </row>
    <row r="140" spans="1:9">
      <c r="A140" s="34">
        <v>139</v>
      </c>
      <c r="B140" s="42" t="s">
        <v>440</v>
      </c>
      <c r="C140" s="43" t="s">
        <v>441</v>
      </c>
      <c r="D140" s="44" t="s">
        <v>442</v>
      </c>
      <c r="E140" s="45" t="s">
        <v>12</v>
      </c>
      <c r="F140" s="46" t="s">
        <v>13</v>
      </c>
      <c r="G140" s="72" t="s">
        <v>438</v>
      </c>
      <c r="H140" s="48" t="str">
        <f t="shared" si="2"/>
        <v>并行推进</v>
      </c>
      <c r="I140" s="45" t="s">
        <v>443</v>
      </c>
    </row>
    <row r="141" spans="1:9">
      <c r="A141" s="34">
        <v>140</v>
      </c>
      <c r="B141" s="42" t="s">
        <v>440</v>
      </c>
      <c r="C141" s="68" t="s">
        <v>444</v>
      </c>
      <c r="D141" s="44" t="s">
        <v>445</v>
      </c>
      <c r="E141" s="45" t="s">
        <v>12</v>
      </c>
      <c r="F141" s="46" t="s">
        <v>13</v>
      </c>
      <c r="G141" s="63" t="s">
        <v>142</v>
      </c>
      <c r="H141" s="48" t="str">
        <f t="shared" si="2"/>
        <v>三期</v>
      </c>
      <c r="I141" s="45"/>
    </row>
    <row r="142" spans="1:9">
      <c r="A142" s="34">
        <v>141</v>
      </c>
      <c r="B142" s="42" t="s">
        <v>440</v>
      </c>
      <c r="C142" s="68" t="s">
        <v>446</v>
      </c>
      <c r="D142" s="44" t="s">
        <v>447</v>
      </c>
      <c r="E142" s="45" t="s">
        <v>12</v>
      </c>
      <c r="F142" s="46" t="s">
        <v>13</v>
      </c>
      <c r="G142" s="63" t="s">
        <v>142</v>
      </c>
      <c r="H142" s="48" t="str">
        <f t="shared" si="2"/>
        <v>三期</v>
      </c>
      <c r="I142" s="45"/>
    </row>
    <row r="143" spans="1:9">
      <c r="A143" s="34">
        <v>142</v>
      </c>
      <c r="B143" s="42" t="s">
        <v>440</v>
      </c>
      <c r="C143" s="43" t="s">
        <v>448</v>
      </c>
      <c r="D143" s="44" t="s">
        <v>449</v>
      </c>
      <c r="E143" s="45" t="s">
        <v>12</v>
      </c>
      <c r="F143" s="46" t="s">
        <v>13</v>
      </c>
      <c r="G143" s="63" t="s">
        <v>142</v>
      </c>
      <c r="H143" s="48" t="str">
        <f t="shared" si="2"/>
        <v>三期</v>
      </c>
      <c r="I143" s="45"/>
    </row>
  </sheetData>
  <autoFilter xmlns:etc="http://www.wps.cn/officeDocument/2017/etCustomData" ref="A1:I143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2"/>
  <sheetViews>
    <sheetView zoomScale="121" zoomScaleNormal="121" workbookViewId="0">
      <pane xSplit="2" ySplit="1" topLeftCell="C2" activePane="bottomRight" state="frozen"/>
      <selection/>
      <selection pane="topRight"/>
      <selection pane="bottomLeft"/>
      <selection pane="bottomRight" activeCell="D16" sqref="D16"/>
    </sheetView>
  </sheetViews>
  <sheetFormatPr defaultColWidth="8.6796875" defaultRowHeight="16.8" outlineLevelCol="6"/>
  <cols>
    <col min="1" max="1" width="5.5078125" customWidth="1"/>
    <col min="2" max="2" width="9" customWidth="1"/>
    <col min="3" max="3" width="12" customWidth="1"/>
    <col min="4" max="4" width="20" customWidth="1"/>
    <col min="5" max="5" width="32" customWidth="1"/>
    <col min="6" max="6" width="9.5078125" customWidth="1"/>
    <col min="7" max="7" width="26" customWidth="1"/>
  </cols>
  <sheetData>
    <row r="1" ht="17.55" spans="1:7">
      <c r="A1" s="10" t="s">
        <v>0</v>
      </c>
      <c r="B1" s="10" t="s">
        <v>450</v>
      </c>
      <c r="C1" s="10" t="s">
        <v>451</v>
      </c>
      <c r="D1" s="10" t="s">
        <v>452</v>
      </c>
      <c r="E1" s="10" t="s">
        <v>453</v>
      </c>
      <c r="F1" s="10" t="s">
        <v>5</v>
      </c>
      <c r="G1" s="10" t="s">
        <v>454</v>
      </c>
    </row>
    <row r="2" spans="1:7">
      <c r="A2" s="11">
        <v>1</v>
      </c>
      <c r="B2" s="12" t="s">
        <v>455</v>
      </c>
      <c r="C2" s="13" t="s">
        <v>456</v>
      </c>
      <c r="D2" s="14" t="s">
        <v>457</v>
      </c>
      <c r="E2" s="15" t="s">
        <v>458</v>
      </c>
      <c r="F2" s="16" t="s">
        <v>56</v>
      </c>
      <c r="G2" s="17"/>
    </row>
    <row r="3" spans="1:7">
      <c r="A3" s="11">
        <v>2</v>
      </c>
      <c r="B3" s="18" t="s">
        <v>455</v>
      </c>
      <c r="C3" s="19" t="s">
        <v>456</v>
      </c>
      <c r="D3" s="20" t="s">
        <v>83</v>
      </c>
      <c r="E3" s="21" t="s">
        <v>459</v>
      </c>
      <c r="F3" s="22" t="s">
        <v>56</v>
      </c>
      <c r="G3" s="23"/>
    </row>
    <row r="4" spans="1:7">
      <c r="A4" s="11">
        <v>3</v>
      </c>
      <c r="B4" s="18" t="s">
        <v>455</v>
      </c>
      <c r="C4" s="19" t="s">
        <v>456</v>
      </c>
      <c r="D4" s="24" t="s">
        <v>100</v>
      </c>
      <c r="E4" s="21" t="s">
        <v>12</v>
      </c>
      <c r="F4" s="25" t="s">
        <v>102</v>
      </c>
      <c r="G4" s="23" t="s">
        <v>460</v>
      </c>
    </row>
    <row r="5" spans="1:7">
      <c r="A5" s="11">
        <v>4</v>
      </c>
      <c r="B5" s="18" t="s">
        <v>455</v>
      </c>
      <c r="C5" s="19" t="s">
        <v>461</v>
      </c>
      <c r="D5" s="24" t="s">
        <v>462</v>
      </c>
      <c r="E5" s="21" t="s">
        <v>12</v>
      </c>
      <c r="F5" s="25" t="s">
        <v>102</v>
      </c>
      <c r="G5" s="26" t="s">
        <v>463</v>
      </c>
    </row>
    <row r="6" spans="1:7">
      <c r="A6" s="11">
        <v>5</v>
      </c>
      <c r="B6" s="18" t="s">
        <v>455</v>
      </c>
      <c r="C6" s="19" t="s">
        <v>461</v>
      </c>
      <c r="D6" s="24" t="s">
        <v>464</v>
      </c>
      <c r="E6" s="21" t="s">
        <v>12</v>
      </c>
      <c r="F6" s="25" t="s">
        <v>102</v>
      </c>
      <c r="G6" s="23"/>
    </row>
    <row r="7" spans="1:7">
      <c r="A7" s="11">
        <v>6</v>
      </c>
      <c r="B7" s="18" t="s">
        <v>455</v>
      </c>
      <c r="C7" s="19" t="s">
        <v>461</v>
      </c>
      <c r="D7" s="24" t="s">
        <v>465</v>
      </c>
      <c r="E7" s="21" t="s">
        <v>12</v>
      </c>
      <c r="F7" s="25" t="s">
        <v>102</v>
      </c>
      <c r="G7" s="23"/>
    </row>
    <row r="8" spans="1:7">
      <c r="A8" s="11">
        <v>7</v>
      </c>
      <c r="B8" s="18" t="s">
        <v>455</v>
      </c>
      <c r="C8" s="19" t="s">
        <v>466</v>
      </c>
      <c r="D8" s="20" t="s">
        <v>64</v>
      </c>
      <c r="E8" s="21" t="s">
        <v>467</v>
      </c>
      <c r="F8" s="22" t="s">
        <v>56</v>
      </c>
      <c r="G8" s="23"/>
    </row>
    <row r="9" ht="17.55" spans="1:7">
      <c r="A9" s="11">
        <v>8</v>
      </c>
      <c r="B9" s="18" t="s">
        <v>455</v>
      </c>
      <c r="C9" s="19" t="s">
        <v>466</v>
      </c>
      <c r="D9" s="20" t="s">
        <v>71</v>
      </c>
      <c r="E9" s="21" t="s">
        <v>468</v>
      </c>
      <c r="F9" s="22" t="s">
        <v>56</v>
      </c>
      <c r="G9" s="23"/>
    </row>
    <row r="10" spans="1:7">
      <c r="A10" s="11">
        <v>9</v>
      </c>
      <c r="B10" s="12" t="s">
        <v>469</v>
      </c>
      <c r="C10" s="13" t="s">
        <v>470</v>
      </c>
      <c r="D10" s="14" t="s">
        <v>114</v>
      </c>
      <c r="E10" s="15" t="s">
        <v>471</v>
      </c>
      <c r="F10" s="16" t="s">
        <v>56</v>
      </c>
      <c r="G10" s="17"/>
    </row>
    <row r="11" spans="1:7">
      <c r="A11" s="11">
        <v>10</v>
      </c>
      <c r="B11" s="18" t="s">
        <v>469</v>
      </c>
      <c r="C11" s="19" t="s">
        <v>470</v>
      </c>
      <c r="D11" s="20" t="s">
        <v>132</v>
      </c>
      <c r="E11" s="21" t="s">
        <v>472</v>
      </c>
      <c r="F11" s="27" t="s">
        <v>93</v>
      </c>
      <c r="G11" s="23" t="s">
        <v>134</v>
      </c>
    </row>
    <row r="12" spans="1:7">
      <c r="A12" s="11">
        <v>11</v>
      </c>
      <c r="B12" s="18" t="s">
        <v>469</v>
      </c>
      <c r="C12" s="19" t="s">
        <v>470</v>
      </c>
      <c r="D12" s="20" t="s">
        <v>135</v>
      </c>
      <c r="E12" s="21" t="s">
        <v>473</v>
      </c>
      <c r="F12" s="27" t="s">
        <v>93</v>
      </c>
      <c r="G12" s="23" t="s">
        <v>137</v>
      </c>
    </row>
    <row r="13" spans="1:7">
      <c r="A13" s="11">
        <v>12</v>
      </c>
      <c r="B13" s="18" t="s">
        <v>469</v>
      </c>
      <c r="C13" s="19" t="s">
        <v>470</v>
      </c>
      <c r="D13" s="24" t="s">
        <v>144</v>
      </c>
      <c r="E13" s="21" t="s">
        <v>12</v>
      </c>
      <c r="F13" s="25" t="s">
        <v>102</v>
      </c>
      <c r="G13" s="23"/>
    </row>
    <row r="14" spans="1:7">
      <c r="A14" s="11">
        <v>13</v>
      </c>
      <c r="B14" s="18" t="s">
        <v>469</v>
      </c>
      <c r="C14" s="19" t="s">
        <v>470</v>
      </c>
      <c r="D14" s="24" t="s">
        <v>146</v>
      </c>
      <c r="E14" s="21" t="s">
        <v>12</v>
      </c>
      <c r="F14" s="25" t="s">
        <v>102</v>
      </c>
      <c r="G14" s="23"/>
    </row>
    <row r="15" spans="1:7">
      <c r="A15" s="11">
        <v>14</v>
      </c>
      <c r="B15" s="18" t="s">
        <v>469</v>
      </c>
      <c r="C15" s="19" t="s">
        <v>470</v>
      </c>
      <c r="D15" s="20" t="s">
        <v>116</v>
      </c>
      <c r="E15" s="21" t="s">
        <v>474</v>
      </c>
      <c r="F15" s="22" t="s">
        <v>56</v>
      </c>
      <c r="G15" s="23"/>
    </row>
    <row r="16" spans="1:7">
      <c r="A16" s="11">
        <v>15</v>
      </c>
      <c r="B16" s="18" t="s">
        <v>469</v>
      </c>
      <c r="C16" s="19" t="s">
        <v>470</v>
      </c>
      <c r="D16" s="20" t="s">
        <v>128</v>
      </c>
      <c r="E16" s="21" t="s">
        <v>475</v>
      </c>
      <c r="F16" s="22" t="s">
        <v>56</v>
      </c>
      <c r="G16" s="23"/>
    </row>
    <row r="17" spans="1:7">
      <c r="A17" s="11">
        <v>16</v>
      </c>
      <c r="B17" s="18" t="s">
        <v>469</v>
      </c>
      <c r="C17" s="19" t="s">
        <v>476</v>
      </c>
      <c r="D17" s="20" t="s">
        <v>138</v>
      </c>
      <c r="E17" s="21" t="s">
        <v>477</v>
      </c>
      <c r="F17" s="28" t="s">
        <v>141</v>
      </c>
      <c r="G17" s="26" t="s">
        <v>478</v>
      </c>
    </row>
    <row r="18" ht="17.55" spans="1:7">
      <c r="A18" s="11">
        <v>17</v>
      </c>
      <c r="B18" s="18" t="s">
        <v>469</v>
      </c>
      <c r="C18" s="19" t="s">
        <v>476</v>
      </c>
      <c r="D18" s="20" t="s">
        <v>479</v>
      </c>
      <c r="E18" s="21" t="s">
        <v>480</v>
      </c>
      <c r="F18" s="27" t="s">
        <v>93</v>
      </c>
      <c r="G18" s="23" t="s">
        <v>481</v>
      </c>
    </row>
    <row r="19" spans="1:7">
      <c r="A19" s="11">
        <v>18</v>
      </c>
      <c r="B19" s="12" t="s">
        <v>482</v>
      </c>
      <c r="C19" s="13" t="s">
        <v>483</v>
      </c>
      <c r="D19" s="14" t="s">
        <v>484</v>
      </c>
      <c r="E19" s="15" t="s">
        <v>485</v>
      </c>
      <c r="F19" s="29" t="s">
        <v>156</v>
      </c>
      <c r="G19" s="30" t="s">
        <v>486</v>
      </c>
    </row>
    <row r="20" spans="1:7">
      <c r="A20" s="11">
        <v>19</v>
      </c>
      <c r="B20" s="18" t="s">
        <v>482</v>
      </c>
      <c r="C20" s="19" t="s">
        <v>483</v>
      </c>
      <c r="D20" s="20" t="s">
        <v>487</v>
      </c>
      <c r="E20" s="21" t="s">
        <v>488</v>
      </c>
      <c r="F20" s="31" t="s">
        <v>156</v>
      </c>
      <c r="G20" s="23"/>
    </row>
    <row r="21" spans="1:7">
      <c r="A21" s="11">
        <v>20</v>
      </c>
      <c r="B21" s="18" t="s">
        <v>482</v>
      </c>
      <c r="C21" s="19" t="s">
        <v>483</v>
      </c>
      <c r="D21" s="20" t="s">
        <v>158</v>
      </c>
      <c r="E21" s="21" t="s">
        <v>489</v>
      </c>
      <c r="F21" s="27" t="s">
        <v>93</v>
      </c>
      <c r="G21" s="26" t="s">
        <v>490</v>
      </c>
    </row>
    <row r="22" spans="1:7">
      <c r="A22" s="11">
        <v>21</v>
      </c>
      <c r="B22" s="18" t="s">
        <v>482</v>
      </c>
      <c r="C22" s="19" t="s">
        <v>483</v>
      </c>
      <c r="D22" s="20" t="s">
        <v>491</v>
      </c>
      <c r="E22" s="21" t="s">
        <v>488</v>
      </c>
      <c r="F22" s="31" t="s">
        <v>156</v>
      </c>
      <c r="G22" s="23"/>
    </row>
    <row r="23" spans="1:7">
      <c r="A23" s="11">
        <v>22</v>
      </c>
      <c r="B23" s="18" t="s">
        <v>482</v>
      </c>
      <c r="C23" s="19" t="s">
        <v>483</v>
      </c>
      <c r="D23" s="20" t="s">
        <v>492</v>
      </c>
      <c r="E23" s="21" t="s">
        <v>493</v>
      </c>
      <c r="F23" s="31" t="s">
        <v>37</v>
      </c>
      <c r="G23" s="26" t="s">
        <v>494</v>
      </c>
    </row>
    <row r="24" spans="1:7">
      <c r="A24" s="11">
        <v>23</v>
      </c>
      <c r="B24" s="18" t="s">
        <v>482</v>
      </c>
      <c r="C24" s="19" t="s">
        <v>483</v>
      </c>
      <c r="D24" s="24" t="s">
        <v>495</v>
      </c>
      <c r="E24" s="21" t="s">
        <v>12</v>
      </c>
      <c r="F24" s="25" t="s">
        <v>102</v>
      </c>
      <c r="G24" s="23"/>
    </row>
    <row r="25" spans="1:7">
      <c r="A25" s="11">
        <v>24</v>
      </c>
      <c r="B25" s="18" t="s">
        <v>482</v>
      </c>
      <c r="C25" s="19" t="s">
        <v>483</v>
      </c>
      <c r="D25" s="24" t="s">
        <v>496</v>
      </c>
      <c r="E25" s="21" t="s">
        <v>12</v>
      </c>
      <c r="F25" s="25" t="s">
        <v>102</v>
      </c>
      <c r="G25" s="23"/>
    </row>
    <row r="26" spans="1:7">
      <c r="A26" s="11">
        <v>25</v>
      </c>
      <c r="B26" s="18" t="s">
        <v>482</v>
      </c>
      <c r="C26" s="19" t="s">
        <v>483</v>
      </c>
      <c r="D26" s="24" t="s">
        <v>497</v>
      </c>
      <c r="E26" s="21" t="s">
        <v>12</v>
      </c>
      <c r="F26" s="25" t="s">
        <v>102</v>
      </c>
      <c r="G26" s="23"/>
    </row>
    <row r="27" spans="1:7">
      <c r="A27" s="11">
        <v>26</v>
      </c>
      <c r="B27" s="18" t="s">
        <v>482</v>
      </c>
      <c r="C27" s="19" t="s">
        <v>483</v>
      </c>
      <c r="D27" s="20" t="s">
        <v>168</v>
      </c>
      <c r="E27" s="21" t="s">
        <v>498</v>
      </c>
      <c r="F27" s="22" t="s">
        <v>56</v>
      </c>
      <c r="G27" s="23"/>
    </row>
    <row r="28" spans="1:7">
      <c r="A28" s="11">
        <v>27</v>
      </c>
      <c r="B28" s="18" t="s">
        <v>482</v>
      </c>
      <c r="C28" s="19" t="s">
        <v>499</v>
      </c>
      <c r="D28" s="24" t="s">
        <v>500</v>
      </c>
      <c r="E28" s="21" t="s">
        <v>12</v>
      </c>
      <c r="F28" s="25" t="s">
        <v>102</v>
      </c>
      <c r="G28" s="23"/>
    </row>
    <row r="29" spans="1:7">
      <c r="A29" s="11">
        <v>28</v>
      </c>
      <c r="B29" s="18" t="s">
        <v>482</v>
      </c>
      <c r="C29" s="19" t="s">
        <v>499</v>
      </c>
      <c r="D29" s="24" t="s">
        <v>501</v>
      </c>
      <c r="E29" s="21" t="s">
        <v>12</v>
      </c>
      <c r="F29" s="25" t="s">
        <v>102</v>
      </c>
      <c r="G29" s="23"/>
    </row>
    <row r="30" spans="1:7">
      <c r="A30" s="11">
        <v>29</v>
      </c>
      <c r="B30" s="18" t="s">
        <v>482</v>
      </c>
      <c r="C30" s="19" t="s">
        <v>502</v>
      </c>
      <c r="D30" s="20" t="s">
        <v>503</v>
      </c>
      <c r="E30" s="21" t="s">
        <v>504</v>
      </c>
      <c r="F30" s="31" t="s">
        <v>37</v>
      </c>
      <c r="G30" s="23"/>
    </row>
    <row r="31" ht="17.55" spans="1:7">
      <c r="A31" s="11">
        <v>30</v>
      </c>
      <c r="B31" s="18" t="s">
        <v>482</v>
      </c>
      <c r="C31" s="19" t="s">
        <v>280</v>
      </c>
      <c r="D31" s="20" t="s">
        <v>165</v>
      </c>
      <c r="E31" s="21" t="s">
        <v>505</v>
      </c>
      <c r="F31" s="22" t="s">
        <v>56</v>
      </c>
      <c r="G31" s="23"/>
    </row>
    <row r="32" spans="1:7">
      <c r="A32" s="11">
        <v>31</v>
      </c>
      <c r="B32" s="12" t="s">
        <v>506</v>
      </c>
      <c r="C32" s="13" t="s">
        <v>507</v>
      </c>
      <c r="D32" s="14" t="s">
        <v>508</v>
      </c>
      <c r="E32" s="15" t="s">
        <v>509</v>
      </c>
      <c r="F32" s="29" t="s">
        <v>156</v>
      </c>
      <c r="G32" s="17"/>
    </row>
    <row r="33" spans="1:7">
      <c r="A33" s="11">
        <v>32</v>
      </c>
      <c r="B33" s="18" t="s">
        <v>506</v>
      </c>
      <c r="C33" s="19" t="s">
        <v>507</v>
      </c>
      <c r="D33" s="20" t="s">
        <v>510</v>
      </c>
      <c r="E33" s="21" t="s">
        <v>511</v>
      </c>
      <c r="F33" s="28" t="s">
        <v>141</v>
      </c>
      <c r="G33" s="26" t="s">
        <v>405</v>
      </c>
    </row>
    <row r="34" spans="1:7">
      <c r="A34" s="11">
        <v>33</v>
      </c>
      <c r="B34" s="18" t="s">
        <v>506</v>
      </c>
      <c r="C34" s="19" t="s">
        <v>507</v>
      </c>
      <c r="D34" s="20" t="s">
        <v>512</v>
      </c>
      <c r="E34" s="21" t="s">
        <v>513</v>
      </c>
      <c r="F34" s="31" t="s">
        <v>156</v>
      </c>
      <c r="G34" s="23"/>
    </row>
    <row r="35" spans="1:7">
      <c r="A35" s="11">
        <v>34</v>
      </c>
      <c r="B35" s="18" t="s">
        <v>506</v>
      </c>
      <c r="C35" s="19" t="s">
        <v>507</v>
      </c>
      <c r="D35" s="20" t="s">
        <v>514</v>
      </c>
      <c r="E35" s="21" t="s">
        <v>511</v>
      </c>
      <c r="F35" s="28" t="s">
        <v>141</v>
      </c>
      <c r="G35" s="23"/>
    </row>
    <row r="36" spans="1:7">
      <c r="A36" s="11">
        <v>35</v>
      </c>
      <c r="B36" s="18" t="s">
        <v>506</v>
      </c>
      <c r="C36" s="19" t="s">
        <v>515</v>
      </c>
      <c r="D36" s="20" t="s">
        <v>516</v>
      </c>
      <c r="E36" s="21" t="s">
        <v>511</v>
      </c>
      <c r="F36" s="27" t="s">
        <v>93</v>
      </c>
      <c r="G36" s="26" t="s">
        <v>517</v>
      </c>
    </row>
    <row r="37" spans="1:7">
      <c r="A37" s="11">
        <v>36</v>
      </c>
      <c r="B37" s="18" t="s">
        <v>506</v>
      </c>
      <c r="C37" s="19" t="s">
        <v>515</v>
      </c>
      <c r="D37" s="20" t="s">
        <v>518</v>
      </c>
      <c r="E37" s="21" t="s">
        <v>519</v>
      </c>
      <c r="F37" s="31" t="s">
        <v>156</v>
      </c>
      <c r="G37" s="23"/>
    </row>
    <row r="38" spans="1:7">
      <c r="A38" s="11">
        <v>37</v>
      </c>
      <c r="B38" s="18" t="s">
        <v>506</v>
      </c>
      <c r="C38" s="19" t="s">
        <v>515</v>
      </c>
      <c r="D38" s="20" t="s">
        <v>520</v>
      </c>
      <c r="E38" s="21" t="s">
        <v>519</v>
      </c>
      <c r="F38" s="31" t="s">
        <v>156</v>
      </c>
      <c r="G38" s="23"/>
    </row>
    <row r="39" spans="1:7">
      <c r="A39" s="11">
        <v>38</v>
      </c>
      <c r="B39" s="18" t="s">
        <v>506</v>
      </c>
      <c r="C39" s="19" t="s">
        <v>515</v>
      </c>
      <c r="D39" s="20" t="s">
        <v>521</v>
      </c>
      <c r="E39" s="21" t="s">
        <v>511</v>
      </c>
      <c r="F39" s="28" t="s">
        <v>141</v>
      </c>
      <c r="G39" s="23"/>
    </row>
    <row r="40" spans="1:7">
      <c r="A40" s="11">
        <v>39</v>
      </c>
      <c r="B40" s="18" t="s">
        <v>506</v>
      </c>
      <c r="C40" s="19" t="s">
        <v>522</v>
      </c>
      <c r="D40" s="20" t="s">
        <v>523</v>
      </c>
      <c r="E40" s="21" t="s">
        <v>524</v>
      </c>
      <c r="F40" s="22" t="s">
        <v>56</v>
      </c>
      <c r="G40" s="23"/>
    </row>
    <row r="41" spans="1:7">
      <c r="A41" s="11">
        <v>40</v>
      </c>
      <c r="B41" s="18" t="s">
        <v>506</v>
      </c>
      <c r="C41" s="19" t="s">
        <v>522</v>
      </c>
      <c r="D41" s="20" t="s">
        <v>525</v>
      </c>
      <c r="E41" s="21" t="s">
        <v>524</v>
      </c>
      <c r="F41" s="31" t="s">
        <v>156</v>
      </c>
      <c r="G41" s="23"/>
    </row>
    <row r="42" spans="1:7">
      <c r="A42" s="11">
        <v>41</v>
      </c>
      <c r="B42" s="18" t="s">
        <v>506</v>
      </c>
      <c r="C42" s="19" t="s">
        <v>522</v>
      </c>
      <c r="D42" s="20" t="s">
        <v>526</v>
      </c>
      <c r="E42" s="21" t="s">
        <v>524</v>
      </c>
      <c r="F42" s="31" t="s">
        <v>156</v>
      </c>
      <c r="G42" s="23"/>
    </row>
    <row r="43" spans="1:7">
      <c r="A43" s="11">
        <v>42</v>
      </c>
      <c r="B43" s="18" t="s">
        <v>506</v>
      </c>
      <c r="C43" s="19" t="s">
        <v>522</v>
      </c>
      <c r="D43" s="20" t="s">
        <v>189</v>
      </c>
      <c r="E43" s="21" t="s">
        <v>527</v>
      </c>
      <c r="F43" s="27" t="s">
        <v>93</v>
      </c>
      <c r="G43" s="26" t="s">
        <v>528</v>
      </c>
    </row>
    <row r="44" spans="1:7">
      <c r="A44" s="11">
        <v>43</v>
      </c>
      <c r="B44" s="18" t="s">
        <v>506</v>
      </c>
      <c r="C44" s="19" t="s">
        <v>206</v>
      </c>
      <c r="D44" s="24" t="s">
        <v>529</v>
      </c>
      <c r="E44" s="21" t="s">
        <v>12</v>
      </c>
      <c r="F44" s="25" t="s">
        <v>102</v>
      </c>
      <c r="G44" s="23" t="s">
        <v>460</v>
      </c>
    </row>
    <row r="45" spans="1:7">
      <c r="A45" s="11">
        <v>44</v>
      </c>
      <c r="B45" s="18" t="s">
        <v>506</v>
      </c>
      <c r="C45" s="19" t="s">
        <v>206</v>
      </c>
      <c r="D45" s="24" t="s">
        <v>530</v>
      </c>
      <c r="E45" s="21" t="s">
        <v>12</v>
      </c>
      <c r="F45" s="25" t="s">
        <v>102</v>
      </c>
      <c r="G45" s="23"/>
    </row>
    <row r="46" spans="1:7">
      <c r="A46" s="11">
        <v>45</v>
      </c>
      <c r="B46" s="18" t="s">
        <v>506</v>
      </c>
      <c r="C46" s="19" t="s">
        <v>206</v>
      </c>
      <c r="D46" s="24" t="s">
        <v>531</v>
      </c>
      <c r="E46" s="21" t="s">
        <v>12</v>
      </c>
      <c r="F46" s="25" t="s">
        <v>102</v>
      </c>
      <c r="G46" s="23"/>
    </row>
    <row r="47" spans="1:7">
      <c r="A47" s="11">
        <v>46</v>
      </c>
      <c r="B47" s="18" t="s">
        <v>506</v>
      </c>
      <c r="C47" s="19" t="s">
        <v>532</v>
      </c>
      <c r="D47" s="20" t="s">
        <v>533</v>
      </c>
      <c r="E47" s="21" t="s">
        <v>534</v>
      </c>
      <c r="F47" s="22" t="s">
        <v>56</v>
      </c>
      <c r="G47" s="23"/>
    </row>
    <row r="48" spans="1:7">
      <c r="A48" s="11">
        <v>47</v>
      </c>
      <c r="B48" s="18" t="s">
        <v>506</v>
      </c>
      <c r="C48" s="19" t="s">
        <v>532</v>
      </c>
      <c r="D48" s="20" t="s">
        <v>535</v>
      </c>
      <c r="E48" s="21" t="s">
        <v>536</v>
      </c>
      <c r="F48" s="22" t="s">
        <v>56</v>
      </c>
      <c r="G48" s="23"/>
    </row>
    <row r="49" spans="1:7">
      <c r="A49" s="11">
        <v>48</v>
      </c>
      <c r="B49" s="18" t="s">
        <v>506</v>
      </c>
      <c r="C49" s="19" t="s">
        <v>532</v>
      </c>
      <c r="D49" s="20" t="s">
        <v>537</v>
      </c>
      <c r="E49" s="21" t="s">
        <v>538</v>
      </c>
      <c r="F49" s="27" t="s">
        <v>93</v>
      </c>
      <c r="G49" s="26" t="s">
        <v>517</v>
      </c>
    </row>
    <row r="50" spans="1:7">
      <c r="A50" s="11">
        <v>49</v>
      </c>
      <c r="B50" s="18" t="s">
        <v>506</v>
      </c>
      <c r="C50" s="19" t="s">
        <v>539</v>
      </c>
      <c r="D50" s="24" t="s">
        <v>539</v>
      </c>
      <c r="E50" s="21" t="s">
        <v>12</v>
      </c>
      <c r="F50" s="25" t="s">
        <v>102</v>
      </c>
      <c r="G50" s="26" t="s">
        <v>540</v>
      </c>
    </row>
    <row r="51" spans="1:7">
      <c r="A51" s="11">
        <v>50</v>
      </c>
      <c r="B51" s="18" t="s">
        <v>506</v>
      </c>
      <c r="C51" s="19" t="s">
        <v>539</v>
      </c>
      <c r="D51" s="24" t="s">
        <v>541</v>
      </c>
      <c r="E51" s="21" t="s">
        <v>12</v>
      </c>
      <c r="F51" s="25" t="s">
        <v>102</v>
      </c>
      <c r="G51" s="23"/>
    </row>
    <row r="52" spans="1:7">
      <c r="A52" s="11">
        <v>51</v>
      </c>
      <c r="B52" s="18" t="s">
        <v>506</v>
      </c>
      <c r="C52" s="19" t="s">
        <v>542</v>
      </c>
      <c r="D52" s="20" t="s">
        <v>543</v>
      </c>
      <c r="E52" s="21" t="s">
        <v>544</v>
      </c>
      <c r="F52" s="27" t="s">
        <v>93</v>
      </c>
      <c r="G52" s="23" t="s">
        <v>545</v>
      </c>
    </row>
    <row r="53" spans="1:7">
      <c r="A53" s="11">
        <v>52</v>
      </c>
      <c r="B53" s="18" t="s">
        <v>506</v>
      </c>
      <c r="C53" s="19" t="s">
        <v>542</v>
      </c>
      <c r="D53" s="20" t="s">
        <v>375</v>
      </c>
      <c r="E53" s="21" t="s">
        <v>546</v>
      </c>
      <c r="F53" s="27" t="s">
        <v>93</v>
      </c>
      <c r="G53" s="23" t="s">
        <v>545</v>
      </c>
    </row>
    <row r="54" spans="1:7">
      <c r="A54" s="11">
        <v>53</v>
      </c>
      <c r="B54" s="18" t="s">
        <v>506</v>
      </c>
      <c r="C54" s="19" t="s">
        <v>547</v>
      </c>
      <c r="D54" s="20" t="s">
        <v>548</v>
      </c>
      <c r="E54" s="21" t="s">
        <v>549</v>
      </c>
      <c r="F54" s="22" t="s">
        <v>56</v>
      </c>
      <c r="G54" s="23"/>
    </row>
    <row r="55" spans="1:7">
      <c r="A55" s="11">
        <v>54</v>
      </c>
      <c r="B55" s="18" t="s">
        <v>506</v>
      </c>
      <c r="C55" s="19" t="s">
        <v>547</v>
      </c>
      <c r="D55" s="24" t="s">
        <v>211</v>
      </c>
      <c r="E55" s="21" t="s">
        <v>12</v>
      </c>
      <c r="F55" s="25" t="s">
        <v>102</v>
      </c>
      <c r="G55" s="23" t="s">
        <v>460</v>
      </c>
    </row>
    <row r="56" spans="1:7">
      <c r="A56" s="11">
        <v>55</v>
      </c>
      <c r="B56" s="18" t="s">
        <v>506</v>
      </c>
      <c r="C56" s="19" t="s">
        <v>547</v>
      </c>
      <c r="D56" s="20" t="s">
        <v>550</v>
      </c>
      <c r="E56" s="21" t="s">
        <v>12</v>
      </c>
      <c r="F56" s="28" t="s">
        <v>141</v>
      </c>
      <c r="G56" s="26" t="s">
        <v>99</v>
      </c>
    </row>
    <row r="57" spans="1:7">
      <c r="A57" s="11">
        <v>56</v>
      </c>
      <c r="B57" s="18" t="s">
        <v>506</v>
      </c>
      <c r="C57" s="19" t="s">
        <v>547</v>
      </c>
      <c r="D57" s="20" t="s">
        <v>551</v>
      </c>
      <c r="E57" s="21" t="s">
        <v>12</v>
      </c>
      <c r="F57" s="28" t="s">
        <v>141</v>
      </c>
      <c r="G57" s="23"/>
    </row>
    <row r="58" spans="1:7">
      <c r="A58" s="11">
        <v>57</v>
      </c>
      <c r="B58" s="18" t="s">
        <v>506</v>
      </c>
      <c r="C58" s="19" t="s">
        <v>547</v>
      </c>
      <c r="D58" s="20" t="s">
        <v>552</v>
      </c>
      <c r="E58" s="21" t="s">
        <v>549</v>
      </c>
      <c r="F58" s="22" t="s">
        <v>56</v>
      </c>
      <c r="G58" s="23"/>
    </row>
    <row r="59" spans="1:7">
      <c r="A59" s="11">
        <v>58</v>
      </c>
      <c r="B59" s="18" t="s">
        <v>506</v>
      </c>
      <c r="C59" s="19" t="s">
        <v>553</v>
      </c>
      <c r="D59" s="20" t="s">
        <v>554</v>
      </c>
      <c r="E59" s="21" t="s">
        <v>555</v>
      </c>
      <c r="F59" s="28" t="s">
        <v>141</v>
      </c>
      <c r="G59" s="23" t="s">
        <v>142</v>
      </c>
    </row>
    <row r="60" spans="1:7">
      <c r="A60" s="11">
        <v>59</v>
      </c>
      <c r="B60" s="18" t="s">
        <v>506</v>
      </c>
      <c r="C60" s="19" t="s">
        <v>553</v>
      </c>
      <c r="D60" s="20" t="s">
        <v>556</v>
      </c>
      <c r="E60" s="21" t="s">
        <v>557</v>
      </c>
      <c r="F60" s="28" t="s">
        <v>141</v>
      </c>
      <c r="G60" s="23"/>
    </row>
    <row r="61" spans="1:7">
      <c r="A61" s="11">
        <v>60</v>
      </c>
      <c r="B61" s="18" t="s">
        <v>506</v>
      </c>
      <c r="C61" s="19" t="s">
        <v>553</v>
      </c>
      <c r="D61" s="20" t="s">
        <v>558</v>
      </c>
      <c r="E61" s="21" t="s">
        <v>557</v>
      </c>
      <c r="F61" s="28" t="s">
        <v>141</v>
      </c>
      <c r="G61" s="23"/>
    </row>
    <row r="62" spans="1:7">
      <c r="A62" s="11">
        <v>61</v>
      </c>
      <c r="B62" s="18" t="s">
        <v>506</v>
      </c>
      <c r="C62" s="19" t="s">
        <v>553</v>
      </c>
      <c r="D62" s="20" t="s">
        <v>559</v>
      </c>
      <c r="E62" s="21" t="s">
        <v>557</v>
      </c>
      <c r="F62" s="28" t="s">
        <v>141</v>
      </c>
      <c r="G62" s="23"/>
    </row>
    <row r="63" spans="1:7">
      <c r="A63" s="11">
        <v>62</v>
      </c>
      <c r="B63" s="18" t="s">
        <v>506</v>
      </c>
      <c r="C63" s="19" t="s">
        <v>553</v>
      </c>
      <c r="D63" s="20" t="s">
        <v>560</v>
      </c>
      <c r="E63" s="21" t="s">
        <v>557</v>
      </c>
      <c r="F63" s="28" t="s">
        <v>141</v>
      </c>
      <c r="G63" s="23"/>
    </row>
    <row r="64" spans="1:7">
      <c r="A64" s="11">
        <v>63</v>
      </c>
      <c r="B64" s="18" t="s">
        <v>506</v>
      </c>
      <c r="C64" s="19" t="s">
        <v>553</v>
      </c>
      <c r="D64" s="20" t="s">
        <v>561</v>
      </c>
      <c r="E64" s="21" t="s">
        <v>557</v>
      </c>
      <c r="F64" s="28" t="s">
        <v>141</v>
      </c>
      <c r="G64" s="23"/>
    </row>
    <row r="65" spans="1:7">
      <c r="A65" s="11">
        <v>64</v>
      </c>
      <c r="B65" s="18" t="s">
        <v>506</v>
      </c>
      <c r="C65" s="19" t="s">
        <v>562</v>
      </c>
      <c r="D65" s="20" t="s">
        <v>563</v>
      </c>
      <c r="E65" s="21" t="s">
        <v>564</v>
      </c>
      <c r="F65" s="31" t="s">
        <v>37</v>
      </c>
      <c r="G65" s="26" t="s">
        <v>366</v>
      </c>
    </row>
    <row r="66" spans="1:7">
      <c r="A66" s="11">
        <v>65</v>
      </c>
      <c r="B66" s="18" t="s">
        <v>506</v>
      </c>
      <c r="C66" s="19" t="s">
        <v>562</v>
      </c>
      <c r="D66" s="20" t="s">
        <v>565</v>
      </c>
      <c r="E66" s="21" t="s">
        <v>566</v>
      </c>
      <c r="F66" s="27" t="s">
        <v>93</v>
      </c>
      <c r="G66" s="26" t="s">
        <v>99</v>
      </c>
    </row>
    <row r="67" ht="17.55" spans="1:7">
      <c r="A67" s="11">
        <v>66</v>
      </c>
      <c r="B67" s="18" t="s">
        <v>506</v>
      </c>
      <c r="C67" s="19" t="s">
        <v>562</v>
      </c>
      <c r="D67" s="20" t="s">
        <v>567</v>
      </c>
      <c r="E67" s="21" t="s">
        <v>566</v>
      </c>
      <c r="F67" s="27" t="s">
        <v>93</v>
      </c>
      <c r="G67" s="23"/>
    </row>
    <row r="68" spans="1:7">
      <c r="A68" s="11">
        <v>67</v>
      </c>
      <c r="B68" s="12" t="s">
        <v>568</v>
      </c>
      <c r="C68" s="13" t="s">
        <v>532</v>
      </c>
      <c r="D68" s="14" t="s">
        <v>218</v>
      </c>
      <c r="E68" s="15" t="s">
        <v>569</v>
      </c>
      <c r="F68" s="16" t="s">
        <v>56</v>
      </c>
      <c r="G68" s="30" t="s">
        <v>570</v>
      </c>
    </row>
    <row r="69" spans="1:7">
      <c r="A69" s="11">
        <v>68</v>
      </c>
      <c r="B69" s="18" t="s">
        <v>568</v>
      </c>
      <c r="C69" s="19" t="s">
        <v>532</v>
      </c>
      <c r="D69" s="20" t="s">
        <v>229</v>
      </c>
      <c r="E69" s="21" t="s">
        <v>571</v>
      </c>
      <c r="F69" s="22" t="s">
        <v>56</v>
      </c>
      <c r="G69" s="23"/>
    </row>
    <row r="70" spans="1:7">
      <c r="A70" s="11">
        <v>69</v>
      </c>
      <c r="B70" s="18" t="s">
        <v>568</v>
      </c>
      <c r="C70" s="19" t="s">
        <v>532</v>
      </c>
      <c r="D70" s="20" t="s">
        <v>240</v>
      </c>
      <c r="E70" s="21" t="s">
        <v>572</v>
      </c>
      <c r="F70" s="22" t="s">
        <v>56</v>
      </c>
      <c r="G70" s="26" t="s">
        <v>573</v>
      </c>
    </row>
    <row r="71" spans="1:7">
      <c r="A71" s="11">
        <v>70</v>
      </c>
      <c r="B71" s="18" t="s">
        <v>568</v>
      </c>
      <c r="C71" s="19" t="s">
        <v>532</v>
      </c>
      <c r="D71" s="20" t="s">
        <v>244</v>
      </c>
      <c r="E71" s="21" t="s">
        <v>574</v>
      </c>
      <c r="F71" s="22" t="s">
        <v>56</v>
      </c>
      <c r="G71" s="23"/>
    </row>
    <row r="72" spans="1:7">
      <c r="A72" s="11">
        <v>71</v>
      </c>
      <c r="B72" s="18" t="s">
        <v>568</v>
      </c>
      <c r="C72" s="19" t="s">
        <v>532</v>
      </c>
      <c r="D72" s="20" t="s">
        <v>249</v>
      </c>
      <c r="E72" s="21" t="s">
        <v>538</v>
      </c>
      <c r="F72" s="27" t="s">
        <v>93</v>
      </c>
      <c r="G72" s="26" t="s">
        <v>517</v>
      </c>
    </row>
    <row r="73" spans="1:7">
      <c r="A73" s="11">
        <v>72</v>
      </c>
      <c r="B73" s="18" t="s">
        <v>568</v>
      </c>
      <c r="C73" s="19" t="s">
        <v>532</v>
      </c>
      <c r="D73" s="20" t="s">
        <v>575</v>
      </c>
      <c r="E73" s="21" t="s">
        <v>576</v>
      </c>
      <c r="F73" s="22" t="s">
        <v>56</v>
      </c>
      <c r="G73" s="23"/>
    </row>
    <row r="74" spans="1:7">
      <c r="A74" s="11">
        <v>73</v>
      </c>
      <c r="B74" s="18" t="s">
        <v>568</v>
      </c>
      <c r="C74" s="19" t="s">
        <v>532</v>
      </c>
      <c r="D74" s="20" t="s">
        <v>256</v>
      </c>
      <c r="E74" s="21" t="s">
        <v>577</v>
      </c>
      <c r="F74" s="22" t="s">
        <v>56</v>
      </c>
      <c r="G74" s="26" t="s">
        <v>578</v>
      </c>
    </row>
    <row r="75" spans="1:7">
      <c r="A75" s="11">
        <v>74</v>
      </c>
      <c r="B75" s="18" t="s">
        <v>568</v>
      </c>
      <c r="C75" s="19" t="s">
        <v>532</v>
      </c>
      <c r="D75" s="20" t="s">
        <v>268</v>
      </c>
      <c r="E75" s="21" t="s">
        <v>579</v>
      </c>
      <c r="F75" s="28" t="s">
        <v>141</v>
      </c>
      <c r="G75" s="23"/>
    </row>
    <row r="76" spans="1:7">
      <c r="A76" s="11">
        <v>75</v>
      </c>
      <c r="B76" s="18" t="s">
        <v>568</v>
      </c>
      <c r="C76" s="32" t="s">
        <v>580</v>
      </c>
      <c r="D76" s="20" t="s">
        <v>581</v>
      </c>
      <c r="E76" s="21" t="s">
        <v>582</v>
      </c>
      <c r="F76" s="31" t="s">
        <v>37</v>
      </c>
      <c r="G76" s="23"/>
    </row>
    <row r="77" spans="1:7">
      <c r="A77" s="11">
        <v>76</v>
      </c>
      <c r="B77" s="18" t="s">
        <v>568</v>
      </c>
      <c r="C77" s="32" t="s">
        <v>580</v>
      </c>
      <c r="D77" s="20" t="s">
        <v>583</v>
      </c>
      <c r="E77" s="21" t="s">
        <v>584</v>
      </c>
      <c r="F77" s="27" t="s">
        <v>93</v>
      </c>
      <c r="G77" s="26" t="s">
        <v>99</v>
      </c>
    </row>
    <row r="78" spans="1:7">
      <c r="A78" s="11">
        <v>77</v>
      </c>
      <c r="B78" s="18" t="s">
        <v>568</v>
      </c>
      <c r="C78" s="19" t="s">
        <v>585</v>
      </c>
      <c r="D78" s="20" t="s">
        <v>586</v>
      </c>
      <c r="E78" s="21" t="s">
        <v>587</v>
      </c>
      <c r="F78" s="31" t="s">
        <v>37</v>
      </c>
      <c r="G78" s="23"/>
    </row>
    <row r="79" spans="1:7">
      <c r="A79" s="11">
        <v>78</v>
      </c>
      <c r="B79" s="18" t="s">
        <v>568</v>
      </c>
      <c r="C79" s="19" t="s">
        <v>585</v>
      </c>
      <c r="D79" s="20" t="s">
        <v>235</v>
      </c>
      <c r="E79" s="21" t="s">
        <v>588</v>
      </c>
      <c r="F79" s="22" t="s">
        <v>56</v>
      </c>
      <c r="G79" s="23"/>
    </row>
    <row r="80" spans="1:7">
      <c r="A80" s="11">
        <v>79</v>
      </c>
      <c r="B80" s="18" t="s">
        <v>568</v>
      </c>
      <c r="C80" s="19" t="s">
        <v>585</v>
      </c>
      <c r="D80" s="20" t="s">
        <v>96</v>
      </c>
      <c r="E80" s="21" t="s">
        <v>589</v>
      </c>
      <c r="F80" s="27" t="s">
        <v>93</v>
      </c>
      <c r="G80" s="26" t="s">
        <v>99</v>
      </c>
    </row>
    <row r="81" spans="1:7">
      <c r="A81" s="11">
        <v>80</v>
      </c>
      <c r="B81" s="18" t="s">
        <v>568</v>
      </c>
      <c r="C81" s="19" t="s">
        <v>585</v>
      </c>
      <c r="D81" s="24" t="s">
        <v>590</v>
      </c>
      <c r="E81" s="21" t="s">
        <v>12</v>
      </c>
      <c r="F81" s="25" t="s">
        <v>102</v>
      </c>
      <c r="G81" s="23" t="s">
        <v>460</v>
      </c>
    </row>
    <row r="82" ht="17.55" spans="1:7">
      <c r="A82" s="11">
        <v>81</v>
      </c>
      <c r="B82" s="18" t="s">
        <v>568</v>
      </c>
      <c r="C82" s="19" t="s">
        <v>591</v>
      </c>
      <c r="D82" s="20" t="s">
        <v>258</v>
      </c>
      <c r="E82" s="21" t="s">
        <v>592</v>
      </c>
      <c r="F82" s="27" t="s">
        <v>93</v>
      </c>
      <c r="G82" s="26" t="s">
        <v>593</v>
      </c>
    </row>
    <row r="83" spans="1:7">
      <c r="A83" s="11">
        <v>82</v>
      </c>
      <c r="B83" s="12" t="s">
        <v>594</v>
      </c>
      <c r="C83" s="13" t="s">
        <v>280</v>
      </c>
      <c r="D83" s="14" t="s">
        <v>280</v>
      </c>
      <c r="E83" s="15" t="s">
        <v>595</v>
      </c>
      <c r="F83" s="16" t="s">
        <v>56</v>
      </c>
      <c r="G83" s="17"/>
    </row>
    <row r="84" spans="1:7">
      <c r="A84" s="11">
        <v>83</v>
      </c>
      <c r="B84" s="18" t="s">
        <v>594</v>
      </c>
      <c r="C84" s="19" t="s">
        <v>280</v>
      </c>
      <c r="D84" s="20" t="s">
        <v>283</v>
      </c>
      <c r="E84" s="21" t="s">
        <v>596</v>
      </c>
      <c r="F84" s="22" t="s">
        <v>56</v>
      </c>
      <c r="G84" s="23"/>
    </row>
    <row r="85" spans="1:7">
      <c r="A85" s="11">
        <v>84</v>
      </c>
      <c r="B85" s="18" t="s">
        <v>594</v>
      </c>
      <c r="C85" s="19" t="s">
        <v>280</v>
      </c>
      <c r="D85" s="20" t="s">
        <v>285</v>
      </c>
      <c r="E85" s="21" t="s">
        <v>597</v>
      </c>
      <c r="F85" s="22" t="s">
        <v>56</v>
      </c>
      <c r="G85" s="23"/>
    </row>
    <row r="86" ht="17.55" spans="1:7">
      <c r="A86" s="11">
        <v>85</v>
      </c>
      <c r="B86" s="18" t="s">
        <v>594</v>
      </c>
      <c r="C86" s="19" t="s">
        <v>290</v>
      </c>
      <c r="D86" s="20" t="s">
        <v>290</v>
      </c>
      <c r="E86" s="21" t="s">
        <v>598</v>
      </c>
      <c r="F86" s="22" t="s">
        <v>56</v>
      </c>
      <c r="G86" s="23"/>
    </row>
    <row r="87" spans="1:7">
      <c r="A87" s="11">
        <v>86</v>
      </c>
      <c r="B87" s="12" t="s">
        <v>599</v>
      </c>
      <c r="C87" s="13" t="s">
        <v>600</v>
      </c>
      <c r="D87" s="14" t="s">
        <v>601</v>
      </c>
      <c r="E87" s="15" t="s">
        <v>602</v>
      </c>
      <c r="F87" s="16" t="s">
        <v>56</v>
      </c>
      <c r="G87" s="17"/>
    </row>
    <row r="88" spans="1:7">
      <c r="A88" s="11">
        <v>87</v>
      </c>
      <c r="B88" s="18" t="s">
        <v>599</v>
      </c>
      <c r="C88" s="19" t="s">
        <v>600</v>
      </c>
      <c r="D88" s="20" t="s">
        <v>603</v>
      </c>
      <c r="E88" s="21" t="s">
        <v>604</v>
      </c>
      <c r="F88" s="22" t="s">
        <v>56</v>
      </c>
      <c r="G88" s="23"/>
    </row>
    <row r="89" spans="1:7">
      <c r="A89" s="11">
        <v>88</v>
      </c>
      <c r="B89" s="18" t="s">
        <v>599</v>
      </c>
      <c r="C89" s="19" t="s">
        <v>605</v>
      </c>
      <c r="D89" s="20" t="s">
        <v>309</v>
      </c>
      <c r="E89" s="21" t="s">
        <v>606</v>
      </c>
      <c r="F89" s="22" t="s">
        <v>56</v>
      </c>
      <c r="G89" s="23"/>
    </row>
    <row r="90" spans="1:7">
      <c r="A90" s="11">
        <v>89</v>
      </c>
      <c r="B90" s="18" t="s">
        <v>599</v>
      </c>
      <c r="C90" s="19" t="s">
        <v>605</v>
      </c>
      <c r="D90" s="20" t="s">
        <v>306</v>
      </c>
      <c r="E90" s="21" t="s">
        <v>607</v>
      </c>
      <c r="F90" s="22" t="s">
        <v>56</v>
      </c>
      <c r="G90" s="23"/>
    </row>
    <row r="91" spans="1:7">
      <c r="A91" s="11">
        <v>90</v>
      </c>
      <c r="B91" s="18" t="s">
        <v>599</v>
      </c>
      <c r="C91" s="19" t="s">
        <v>605</v>
      </c>
      <c r="D91" s="20" t="s">
        <v>608</v>
      </c>
      <c r="E91" s="21" t="s">
        <v>607</v>
      </c>
      <c r="F91" s="31" t="s">
        <v>156</v>
      </c>
      <c r="G91" s="23"/>
    </row>
    <row r="92" spans="1:7">
      <c r="A92" s="11">
        <v>91</v>
      </c>
      <c r="B92" s="18" t="s">
        <v>599</v>
      </c>
      <c r="C92" s="19" t="s">
        <v>609</v>
      </c>
      <c r="D92" s="20" t="s">
        <v>610</v>
      </c>
      <c r="E92" s="21" t="s">
        <v>611</v>
      </c>
      <c r="F92" s="27" t="s">
        <v>93</v>
      </c>
      <c r="G92" s="23" t="s">
        <v>612</v>
      </c>
    </row>
    <row r="93" ht="17.55" spans="1:7">
      <c r="A93" s="11">
        <v>92</v>
      </c>
      <c r="B93" s="18" t="s">
        <v>599</v>
      </c>
      <c r="C93" s="19" t="s">
        <v>609</v>
      </c>
      <c r="D93" s="20" t="s">
        <v>613</v>
      </c>
      <c r="E93" s="21" t="s">
        <v>611</v>
      </c>
      <c r="F93" s="27" t="s">
        <v>93</v>
      </c>
      <c r="G93" s="23" t="s">
        <v>612</v>
      </c>
    </row>
    <row r="94" spans="1:7">
      <c r="A94" s="11">
        <v>93</v>
      </c>
      <c r="B94" s="12" t="s">
        <v>614</v>
      </c>
      <c r="C94" s="13" t="s">
        <v>615</v>
      </c>
      <c r="D94" s="14" t="s">
        <v>616</v>
      </c>
      <c r="E94" s="15" t="s">
        <v>617</v>
      </c>
      <c r="F94" s="16" t="s">
        <v>56</v>
      </c>
      <c r="G94" s="30" t="s">
        <v>618</v>
      </c>
    </row>
    <row r="95" spans="1:7">
      <c r="A95" s="11">
        <v>94</v>
      </c>
      <c r="B95" s="18" t="s">
        <v>614</v>
      </c>
      <c r="C95" s="19" t="s">
        <v>615</v>
      </c>
      <c r="D95" s="20" t="s">
        <v>324</v>
      </c>
      <c r="E95" s="21" t="s">
        <v>619</v>
      </c>
      <c r="F95" s="22" t="s">
        <v>56</v>
      </c>
      <c r="G95" s="23"/>
    </row>
    <row r="96" spans="1:7">
      <c r="A96" s="11">
        <v>95</v>
      </c>
      <c r="B96" s="18" t="s">
        <v>614</v>
      </c>
      <c r="C96" s="19" t="s">
        <v>615</v>
      </c>
      <c r="D96" s="24" t="s">
        <v>620</v>
      </c>
      <c r="E96" s="21" t="s">
        <v>12</v>
      </c>
      <c r="F96" s="25" t="s">
        <v>102</v>
      </c>
      <c r="G96" s="23" t="s">
        <v>460</v>
      </c>
    </row>
    <row r="97" ht="17.55" spans="1:7">
      <c r="A97" s="11">
        <v>96</v>
      </c>
      <c r="B97" s="18" t="s">
        <v>614</v>
      </c>
      <c r="C97" s="19" t="s">
        <v>621</v>
      </c>
      <c r="D97" s="24" t="s">
        <v>334</v>
      </c>
      <c r="E97" s="21" t="s">
        <v>12</v>
      </c>
      <c r="F97" s="25" t="s">
        <v>102</v>
      </c>
      <c r="G97" s="26" t="s">
        <v>622</v>
      </c>
    </row>
    <row r="98" spans="1:7">
      <c r="A98" s="11">
        <v>97</v>
      </c>
      <c r="B98" s="12" t="s">
        <v>623</v>
      </c>
      <c r="C98" s="13" t="s">
        <v>624</v>
      </c>
      <c r="D98" s="14" t="s">
        <v>625</v>
      </c>
      <c r="E98" s="15" t="s">
        <v>626</v>
      </c>
      <c r="F98" s="16" t="s">
        <v>56</v>
      </c>
      <c r="G98" s="17"/>
    </row>
    <row r="99" spans="1:7">
      <c r="A99" s="11">
        <v>98</v>
      </c>
      <c r="B99" s="18" t="s">
        <v>623</v>
      </c>
      <c r="C99" s="19" t="s">
        <v>624</v>
      </c>
      <c r="D99" s="20" t="s">
        <v>627</v>
      </c>
      <c r="E99" s="21" t="s">
        <v>628</v>
      </c>
      <c r="F99" s="22" t="s">
        <v>56</v>
      </c>
      <c r="G99" s="23"/>
    </row>
    <row r="100" spans="1:7">
      <c r="A100" s="11">
        <v>99</v>
      </c>
      <c r="B100" s="18" t="s">
        <v>623</v>
      </c>
      <c r="C100" s="19" t="s">
        <v>624</v>
      </c>
      <c r="D100" s="20" t="s">
        <v>360</v>
      </c>
      <c r="E100" s="21" t="s">
        <v>629</v>
      </c>
      <c r="F100" s="22" t="s">
        <v>56</v>
      </c>
      <c r="G100" s="23"/>
    </row>
    <row r="101" spans="1:7">
      <c r="A101" s="11">
        <v>100</v>
      </c>
      <c r="B101" s="18" t="s">
        <v>623</v>
      </c>
      <c r="C101" s="19" t="s">
        <v>630</v>
      </c>
      <c r="D101" s="20" t="s">
        <v>631</v>
      </c>
      <c r="E101" s="21" t="s">
        <v>632</v>
      </c>
      <c r="F101" s="22" t="s">
        <v>56</v>
      </c>
      <c r="G101" s="23"/>
    </row>
    <row r="102" ht="17.55" spans="1:7">
      <c r="A102" s="11">
        <v>101</v>
      </c>
      <c r="B102" s="18" t="s">
        <v>623</v>
      </c>
      <c r="C102" s="19" t="s">
        <v>633</v>
      </c>
      <c r="D102" s="20" t="s">
        <v>378</v>
      </c>
      <c r="E102" s="21" t="s">
        <v>634</v>
      </c>
      <c r="F102" s="27" t="s">
        <v>93</v>
      </c>
      <c r="G102" s="26" t="s">
        <v>635</v>
      </c>
    </row>
    <row r="103" spans="1:7">
      <c r="A103" s="11">
        <v>102</v>
      </c>
      <c r="B103" s="12" t="s">
        <v>636</v>
      </c>
      <c r="C103" s="13" t="s">
        <v>385</v>
      </c>
      <c r="D103" s="14" t="s">
        <v>637</v>
      </c>
      <c r="E103" s="15" t="s">
        <v>638</v>
      </c>
      <c r="F103" s="33" t="s">
        <v>141</v>
      </c>
      <c r="G103" s="17"/>
    </row>
    <row r="104" spans="1:7">
      <c r="A104" s="11">
        <v>103</v>
      </c>
      <c r="B104" s="18" t="s">
        <v>636</v>
      </c>
      <c r="C104" s="19" t="s">
        <v>385</v>
      </c>
      <c r="D104" s="20" t="s">
        <v>639</v>
      </c>
      <c r="E104" s="21" t="s">
        <v>638</v>
      </c>
      <c r="F104" s="28" t="s">
        <v>141</v>
      </c>
      <c r="G104" s="23"/>
    </row>
    <row r="105" spans="1:7">
      <c r="A105" s="11">
        <v>104</v>
      </c>
      <c r="B105" s="18" t="s">
        <v>636</v>
      </c>
      <c r="C105" s="19" t="s">
        <v>385</v>
      </c>
      <c r="D105" s="20" t="s">
        <v>640</v>
      </c>
      <c r="E105" s="21" t="s">
        <v>638</v>
      </c>
      <c r="F105" s="28" t="s">
        <v>141</v>
      </c>
      <c r="G105" s="23"/>
    </row>
    <row r="106" spans="1:7">
      <c r="A106" s="11">
        <v>105</v>
      </c>
      <c r="B106" s="18" t="s">
        <v>636</v>
      </c>
      <c r="C106" s="19" t="s">
        <v>385</v>
      </c>
      <c r="D106" s="20" t="s">
        <v>641</v>
      </c>
      <c r="E106" s="21" t="s">
        <v>638</v>
      </c>
      <c r="F106" s="28" t="s">
        <v>141</v>
      </c>
      <c r="G106" s="23"/>
    </row>
    <row r="107" spans="1:7">
      <c r="A107" s="11">
        <v>106</v>
      </c>
      <c r="B107" s="18" t="s">
        <v>636</v>
      </c>
      <c r="C107" s="19" t="s">
        <v>385</v>
      </c>
      <c r="D107" s="20" t="s">
        <v>642</v>
      </c>
      <c r="E107" s="21" t="s">
        <v>638</v>
      </c>
      <c r="F107" s="28" t="s">
        <v>141</v>
      </c>
      <c r="G107" s="26" t="s">
        <v>643</v>
      </c>
    </row>
    <row r="108" spans="1:7">
      <c r="A108" s="11">
        <v>107</v>
      </c>
      <c r="B108" s="18" t="s">
        <v>636</v>
      </c>
      <c r="C108" s="19" t="s">
        <v>390</v>
      </c>
      <c r="D108" s="20" t="s">
        <v>644</v>
      </c>
      <c r="E108" s="21" t="s">
        <v>645</v>
      </c>
      <c r="F108" s="28" t="s">
        <v>141</v>
      </c>
      <c r="G108" s="23"/>
    </row>
    <row r="109" spans="1:7">
      <c r="A109" s="11">
        <v>108</v>
      </c>
      <c r="B109" s="18" t="s">
        <v>636</v>
      </c>
      <c r="C109" s="19" t="s">
        <v>390</v>
      </c>
      <c r="D109" s="20" t="s">
        <v>390</v>
      </c>
      <c r="E109" s="21" t="s">
        <v>645</v>
      </c>
      <c r="F109" s="28" t="s">
        <v>141</v>
      </c>
      <c r="G109" s="23"/>
    </row>
    <row r="110" spans="1:7">
      <c r="A110" s="11">
        <v>109</v>
      </c>
      <c r="B110" s="18" t="s">
        <v>636</v>
      </c>
      <c r="C110" s="19" t="s">
        <v>390</v>
      </c>
      <c r="D110" s="20" t="s">
        <v>646</v>
      </c>
      <c r="E110" s="21" t="s">
        <v>645</v>
      </c>
      <c r="F110" s="28" t="s">
        <v>141</v>
      </c>
      <c r="G110" s="23"/>
    </row>
    <row r="111" spans="1:7">
      <c r="A111" s="11">
        <v>110</v>
      </c>
      <c r="B111" s="18" t="s">
        <v>636</v>
      </c>
      <c r="C111" s="19" t="s">
        <v>390</v>
      </c>
      <c r="D111" s="20" t="s">
        <v>393</v>
      </c>
      <c r="E111" s="21" t="s">
        <v>647</v>
      </c>
      <c r="F111" s="28" t="s">
        <v>141</v>
      </c>
      <c r="G111" s="23"/>
    </row>
    <row r="112" spans="1:7">
      <c r="A112" s="11">
        <v>111</v>
      </c>
      <c r="B112" s="18" t="s">
        <v>636</v>
      </c>
      <c r="C112" s="19" t="s">
        <v>396</v>
      </c>
      <c r="D112" s="20" t="s">
        <v>648</v>
      </c>
      <c r="E112" s="21" t="s">
        <v>649</v>
      </c>
      <c r="F112" s="28" t="s">
        <v>141</v>
      </c>
      <c r="G112" s="23"/>
    </row>
    <row r="113" spans="1:7">
      <c r="A113" s="11">
        <v>112</v>
      </c>
      <c r="B113" s="18" t="s">
        <v>636</v>
      </c>
      <c r="C113" s="19" t="s">
        <v>396</v>
      </c>
      <c r="D113" s="20" t="s">
        <v>650</v>
      </c>
      <c r="E113" s="21" t="s">
        <v>649</v>
      </c>
      <c r="F113" s="28" t="s">
        <v>141</v>
      </c>
      <c r="G113" s="23"/>
    </row>
    <row r="114" spans="1:7">
      <c r="A114" s="11">
        <v>113</v>
      </c>
      <c r="B114" s="18" t="s">
        <v>636</v>
      </c>
      <c r="C114" s="19" t="s">
        <v>399</v>
      </c>
      <c r="D114" s="20" t="s">
        <v>559</v>
      </c>
      <c r="E114" s="21" t="s">
        <v>557</v>
      </c>
      <c r="F114" s="28" t="s">
        <v>141</v>
      </c>
      <c r="G114" s="26" t="s">
        <v>651</v>
      </c>
    </row>
    <row r="115" spans="1:7">
      <c r="A115" s="11">
        <v>114</v>
      </c>
      <c r="B115" s="18" t="s">
        <v>636</v>
      </c>
      <c r="C115" s="19" t="s">
        <v>399</v>
      </c>
      <c r="D115" s="20" t="s">
        <v>652</v>
      </c>
      <c r="E115" s="21" t="s">
        <v>557</v>
      </c>
      <c r="F115" s="28" t="s">
        <v>141</v>
      </c>
      <c r="G115" s="23"/>
    </row>
    <row r="116" spans="1:7">
      <c r="A116" s="11">
        <v>115</v>
      </c>
      <c r="B116" s="18" t="s">
        <v>636</v>
      </c>
      <c r="C116" s="19" t="s">
        <v>399</v>
      </c>
      <c r="D116" s="20" t="s">
        <v>653</v>
      </c>
      <c r="E116" s="21" t="s">
        <v>557</v>
      </c>
      <c r="F116" s="28" t="s">
        <v>141</v>
      </c>
      <c r="G116" s="23"/>
    </row>
    <row r="117" spans="1:7">
      <c r="A117" s="11">
        <v>116</v>
      </c>
      <c r="B117" s="18" t="s">
        <v>636</v>
      </c>
      <c r="C117" s="19" t="s">
        <v>409</v>
      </c>
      <c r="D117" s="20" t="s">
        <v>654</v>
      </c>
      <c r="E117" s="21" t="s">
        <v>12</v>
      </c>
      <c r="F117" s="27" t="s">
        <v>93</v>
      </c>
      <c r="G117" s="26" t="s">
        <v>655</v>
      </c>
    </row>
    <row r="118" spans="1:7">
      <c r="A118" s="11">
        <v>117</v>
      </c>
      <c r="B118" s="18" t="s">
        <v>636</v>
      </c>
      <c r="C118" s="19" t="s">
        <v>409</v>
      </c>
      <c r="D118" s="20" t="s">
        <v>656</v>
      </c>
      <c r="E118" s="21" t="s">
        <v>12</v>
      </c>
      <c r="F118" s="27" t="s">
        <v>93</v>
      </c>
      <c r="G118" s="23"/>
    </row>
    <row r="119" spans="1:7">
      <c r="A119" s="11">
        <v>118</v>
      </c>
      <c r="B119" s="18" t="s">
        <v>636</v>
      </c>
      <c r="C119" s="19" t="s">
        <v>409</v>
      </c>
      <c r="D119" s="20" t="s">
        <v>657</v>
      </c>
      <c r="E119" s="21" t="s">
        <v>12</v>
      </c>
      <c r="F119" s="27" t="s">
        <v>93</v>
      </c>
      <c r="G119" s="23"/>
    </row>
    <row r="120" spans="1:7">
      <c r="A120" s="11">
        <v>119</v>
      </c>
      <c r="B120" s="18" t="s">
        <v>636</v>
      </c>
      <c r="C120" s="19" t="s">
        <v>403</v>
      </c>
      <c r="D120" s="20" t="s">
        <v>403</v>
      </c>
      <c r="E120" s="21" t="s">
        <v>658</v>
      </c>
      <c r="F120" s="28" t="s">
        <v>141</v>
      </c>
      <c r="G120" s="26" t="s">
        <v>405</v>
      </c>
    </row>
    <row r="121" spans="1:7">
      <c r="A121" s="11">
        <v>120</v>
      </c>
      <c r="B121" s="18" t="s">
        <v>636</v>
      </c>
      <c r="C121" s="19" t="s">
        <v>659</v>
      </c>
      <c r="D121" s="20" t="s">
        <v>390</v>
      </c>
      <c r="E121" s="21" t="s">
        <v>645</v>
      </c>
      <c r="F121" s="28" t="s">
        <v>141</v>
      </c>
      <c r="G121" s="26" t="s">
        <v>660</v>
      </c>
    </row>
    <row r="122" spans="1:7">
      <c r="A122" s="11">
        <v>121</v>
      </c>
      <c r="B122" s="18" t="s">
        <v>636</v>
      </c>
      <c r="C122" s="19" t="s">
        <v>406</v>
      </c>
      <c r="D122" s="20" t="s">
        <v>661</v>
      </c>
      <c r="E122" s="21" t="s">
        <v>662</v>
      </c>
      <c r="F122" s="28" t="s">
        <v>141</v>
      </c>
      <c r="G122" s="23"/>
    </row>
  </sheetData>
  <autoFilter xmlns:etc="http://www.wps.cn/officeDocument/2017/etCustomData" ref="A1:G122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C30" sqref="C30"/>
    </sheetView>
  </sheetViews>
  <sheetFormatPr defaultColWidth="8.6796875" defaultRowHeight="16.8"/>
  <cols>
    <col min="1" max="1" width="15" customWidth="1"/>
    <col min="2" max="9" width="11" customWidth="1"/>
  </cols>
  <sheetData>
    <row r="1" spans="1:9">
      <c r="A1" s="1" t="s">
        <v>1</v>
      </c>
      <c r="B1" s="2" t="s">
        <v>14</v>
      </c>
      <c r="C1" s="2" t="s">
        <v>27</v>
      </c>
      <c r="D1" s="2" t="s">
        <v>142</v>
      </c>
      <c r="E1" s="1" t="s">
        <v>438</v>
      </c>
      <c r="F1" s="1" t="s">
        <v>94</v>
      </c>
      <c r="G1" s="1" t="s">
        <v>102</v>
      </c>
      <c r="H1" s="1" t="s">
        <v>663</v>
      </c>
      <c r="I1" s="1" t="s">
        <v>664</v>
      </c>
    </row>
    <row r="2" spans="1:9">
      <c r="A2" s="3" t="s">
        <v>9</v>
      </c>
      <c r="B2" s="4">
        <f>COUNTIFS('功能清单（新架构）'!$B:$B,$A2,'功能清单（新架构）'!$G:$G,B$1)</f>
        <v>5</v>
      </c>
      <c r="C2" s="4">
        <f>COUNTIFS('功能清单（新架构）'!$B:$B,$A2,'功能清单（新架构）'!$G:$G,C$1)</f>
        <v>1</v>
      </c>
      <c r="D2" s="4">
        <f>COUNTIFS('功能清单（新架构）'!$B:$B,$A2,'功能清单（新架构）'!$G:$G,D$1)</f>
        <v>0</v>
      </c>
      <c r="E2" s="4">
        <f>COUNTIFS('功能清单（新架构）'!$B:$B,$A2,'功能清单（新架构）'!$G:$G,E$1)</f>
        <v>0</v>
      </c>
      <c r="F2" s="4">
        <f>COUNTIFS('功能清单（新架构）'!$B:$B,$A2,'功能清单（新架构）'!$G:$G,F$1)</f>
        <v>0</v>
      </c>
      <c r="G2" s="4">
        <f>COUNTIFS('功能清单（新架构）'!$B:$B,$A2,'功能清单（新架构）'!$G:$G,G$1)</f>
        <v>0</v>
      </c>
      <c r="H2" s="4">
        <f t="shared" ref="H2:H15" si="0">SUM(B2:G2)</f>
        <v>6</v>
      </c>
      <c r="I2" s="4">
        <f t="shared" ref="I2:I15" si="1">H2-G2</f>
        <v>6</v>
      </c>
    </row>
    <row r="3" spans="1:9">
      <c r="A3" s="3" t="s">
        <v>28</v>
      </c>
      <c r="B3" s="4">
        <f>COUNTIFS('功能清单（新架构）'!$B:$B,$A3,'功能清单（新架构）'!$G:$G,B$1)</f>
        <v>9</v>
      </c>
      <c r="C3" s="4">
        <f>COUNTIFS('功能清单（新架构）'!$B:$B,$A3,'功能清单（新架构）'!$G:$G,C$1)</f>
        <v>2</v>
      </c>
      <c r="D3" s="4">
        <f>COUNTIFS('功能清单（新架构）'!$B:$B,$A3,'功能清单（新架构）'!$G:$G,D$1)</f>
        <v>0</v>
      </c>
      <c r="E3" s="4">
        <f>COUNTIFS('功能清单（新架构）'!$B:$B,$A3,'功能清单（新架构）'!$G:$G,E$1)</f>
        <v>0</v>
      </c>
      <c r="F3" s="4">
        <f>COUNTIFS('功能清单（新架构）'!$B:$B,$A3,'功能清单（新架构）'!$G:$G,F$1)</f>
        <v>0</v>
      </c>
      <c r="G3" s="4">
        <f>COUNTIFS('功能清单（新架构）'!$B:$B,$A3,'功能清单（新架构）'!$G:$G,G$1)</f>
        <v>0</v>
      </c>
      <c r="H3" s="4">
        <f t="shared" si="0"/>
        <v>11</v>
      </c>
      <c r="I3" s="4">
        <f t="shared" si="1"/>
        <v>11</v>
      </c>
    </row>
    <row r="4" spans="1:9">
      <c r="A4" s="3" t="s">
        <v>63</v>
      </c>
      <c r="B4" s="4">
        <f>COUNTIFS('功能清单（新架构）'!$B:$B,$A4,'功能清单（新架构）'!$G:$G,B$1)</f>
        <v>7</v>
      </c>
      <c r="C4" s="4">
        <f>COUNTIFS('功能清单（新架构）'!$B:$B,$A4,'功能清单（新架构）'!$G:$G,C$1)</f>
        <v>1</v>
      </c>
      <c r="D4" s="4">
        <f>COUNTIFS('功能清单（新架构）'!$B:$B,$A4,'功能清单（新架构）'!$G:$G,D$1)</f>
        <v>0</v>
      </c>
      <c r="E4" s="4">
        <f>COUNTIFS('功能清单（新架构）'!$B:$B,$A4,'功能清单（新架构）'!$G:$G,E$1)</f>
        <v>0</v>
      </c>
      <c r="F4" s="4">
        <f>COUNTIFS('功能清单（新架构）'!$B:$B,$A4,'功能清单（新架构）'!$G:$G,F$1)</f>
        <v>2</v>
      </c>
      <c r="G4" s="4">
        <f>COUNTIFS('功能清单（新架构）'!$B:$B,$A4,'功能清单（新架构）'!$G:$G,G$1)</f>
        <v>3</v>
      </c>
      <c r="H4" s="4">
        <f t="shared" si="0"/>
        <v>13</v>
      </c>
      <c r="I4" s="4">
        <f t="shared" si="1"/>
        <v>10</v>
      </c>
    </row>
    <row r="5" spans="1:9">
      <c r="A5" s="3" t="s">
        <v>109</v>
      </c>
      <c r="B5" s="4">
        <f>COUNTIFS('功能清单（新架构）'!$B:$B,$A5,'功能清单（新架构）'!$G:$G,B$1)</f>
        <v>5</v>
      </c>
      <c r="C5" s="4">
        <f>COUNTIFS('功能清单（新架构）'!$B:$B,$A5,'功能清单（新架构）'!$G:$G,C$1)</f>
        <v>2</v>
      </c>
      <c r="D5" s="4">
        <f>COUNTIFS('功能清单（新架构）'!$B:$B,$A5,'功能清单（新架构）'!$G:$G,D$1)</f>
        <v>1</v>
      </c>
      <c r="E5" s="4">
        <f>COUNTIFS('功能清单（新架构）'!$B:$B,$A5,'功能清单（新架构）'!$G:$G,E$1)</f>
        <v>0</v>
      </c>
      <c r="F5" s="4">
        <f>COUNTIFS('功能清单（新架构）'!$B:$B,$A5,'功能清单（新架构）'!$G:$G,F$1)</f>
        <v>2</v>
      </c>
      <c r="G5" s="4">
        <f>COUNTIFS('功能清单（新架构）'!$B:$B,$A5,'功能清单（新架构）'!$G:$G,G$1)</f>
        <v>3</v>
      </c>
      <c r="H5" s="4">
        <f t="shared" si="0"/>
        <v>13</v>
      </c>
      <c r="I5" s="4">
        <f t="shared" si="1"/>
        <v>10</v>
      </c>
    </row>
    <row r="6" spans="1:9">
      <c r="A6" s="3" t="s">
        <v>149</v>
      </c>
      <c r="B6" s="4">
        <f>COUNTIFS('功能清单（新架构）'!$B:$B,$A6,'功能清单（新架构）'!$G:$G,B$1)</f>
        <v>0</v>
      </c>
      <c r="C6" s="4">
        <f>COUNTIFS('功能清单（新架构）'!$B:$B,$A6,'功能清单（新架构）'!$G:$G,C$1)</f>
        <v>5</v>
      </c>
      <c r="D6" s="4">
        <f>COUNTIFS('功能清单（新架构）'!$B:$B,$A6,'功能清单（新架构）'!$G:$G,D$1)</f>
        <v>0</v>
      </c>
      <c r="E6" s="4">
        <f>COUNTIFS('功能清单（新架构）'!$B:$B,$A6,'功能清单（新架构）'!$G:$G,E$1)</f>
        <v>0</v>
      </c>
      <c r="F6" s="4">
        <f>COUNTIFS('功能清单（新架构）'!$B:$B,$A6,'功能清单（新架构）'!$G:$G,F$1)</f>
        <v>1</v>
      </c>
      <c r="G6" s="4">
        <f>COUNTIFS('功能清单（新架构）'!$B:$B,$A6,'功能清单（新架构）'!$G:$G,G$1)</f>
        <v>2</v>
      </c>
      <c r="H6" s="4">
        <f t="shared" si="0"/>
        <v>8</v>
      </c>
      <c r="I6" s="4">
        <f t="shared" si="1"/>
        <v>6</v>
      </c>
    </row>
    <row r="7" spans="1:9">
      <c r="A7" s="3" t="s">
        <v>174</v>
      </c>
      <c r="B7" s="4">
        <f>COUNTIFS('功能清单（新架构）'!$B:$B,$A7,'功能清单（新架构）'!$G:$G,B$1)</f>
        <v>0</v>
      </c>
      <c r="C7" s="4">
        <f>COUNTIFS('功能清单（新架构）'!$B:$B,$A7,'功能清单（新架构）'!$G:$G,C$1)</f>
        <v>4</v>
      </c>
      <c r="D7" s="4">
        <f>COUNTIFS('功能清单（新架构）'!$B:$B,$A7,'功能清单（新架构）'!$G:$G,D$1)</f>
        <v>3</v>
      </c>
      <c r="E7" s="4">
        <f>COUNTIFS('功能清单（新架构）'!$B:$B,$A7,'功能清单（新架构）'!$G:$G,E$1)</f>
        <v>0</v>
      </c>
      <c r="F7" s="4">
        <f>COUNTIFS('功能清单（新架构）'!$B:$B,$A7,'功能清单（新架构）'!$G:$G,F$1)</f>
        <v>3</v>
      </c>
      <c r="G7" s="4">
        <f>COUNTIFS('功能清单（新架构）'!$B:$B,$A7,'功能清单（新架构）'!$G:$G,G$1)</f>
        <v>3</v>
      </c>
      <c r="H7" s="4">
        <f t="shared" si="0"/>
        <v>13</v>
      </c>
      <c r="I7" s="4">
        <f t="shared" si="1"/>
        <v>10</v>
      </c>
    </row>
    <row r="8" spans="1:9">
      <c r="A8" s="3" t="s">
        <v>217</v>
      </c>
      <c r="B8" s="4">
        <f>COUNTIFS('功能清单（新架构）'!$B:$B,$A8,'功能清单（新架构）'!$G:$G,B$1)</f>
        <v>10</v>
      </c>
      <c r="C8" s="4">
        <f>COUNTIFS('功能清单（新架构）'!$B:$B,$A8,'功能清单（新架构）'!$G:$G,C$1)</f>
        <v>3</v>
      </c>
      <c r="D8" s="4">
        <f>COUNTIFS('功能清单（新架构）'!$B:$B,$A8,'功能清单（新架构）'!$G:$G,D$1)</f>
        <v>1</v>
      </c>
      <c r="E8" s="4">
        <f>COUNTIFS('功能清单（新架构）'!$B:$B,$A8,'功能清单（新架构）'!$G:$G,E$1)</f>
        <v>0</v>
      </c>
      <c r="F8" s="4">
        <f>COUNTIFS('功能清单（新架构）'!$B:$B,$A8,'功能清单（新架构）'!$G:$G,F$1)</f>
        <v>2</v>
      </c>
      <c r="G8" s="4">
        <f>COUNTIFS('功能清单（新架构）'!$B:$B,$A8,'功能清单（新架构）'!$G:$G,G$1)</f>
        <v>3</v>
      </c>
      <c r="H8" s="4">
        <f t="shared" si="0"/>
        <v>19</v>
      </c>
      <c r="I8" s="4">
        <f t="shared" si="1"/>
        <v>16</v>
      </c>
    </row>
    <row r="9" spans="1:9">
      <c r="A9" s="3" t="s">
        <v>277</v>
      </c>
      <c r="B9" s="4">
        <f>COUNTIFS('功能清单（新架构）'!$B:$B,$A9,'功能清单（新架构）'!$G:$G,B$1)</f>
        <v>0</v>
      </c>
      <c r="C9" s="4">
        <f>COUNTIFS('功能清单（新架构）'!$B:$B,$A9,'功能清单（新架构）'!$G:$G,C$1)</f>
        <v>6</v>
      </c>
      <c r="D9" s="4">
        <f>COUNTIFS('功能清单（新架构）'!$B:$B,$A9,'功能清单（新架构）'!$G:$G,D$1)</f>
        <v>1</v>
      </c>
      <c r="E9" s="4">
        <f>COUNTIFS('功能清单（新架构）'!$B:$B,$A9,'功能清单（新架构）'!$G:$G,E$1)</f>
        <v>0</v>
      </c>
      <c r="F9" s="4">
        <f>COUNTIFS('功能清单（新架构）'!$B:$B,$A9,'功能清单（新架构）'!$G:$G,F$1)</f>
        <v>0</v>
      </c>
      <c r="G9" s="4">
        <f>COUNTIFS('功能清单（新架构）'!$B:$B,$A9,'功能清单（新架构）'!$G:$G,G$1)</f>
        <v>0</v>
      </c>
      <c r="H9" s="4">
        <f t="shared" si="0"/>
        <v>7</v>
      </c>
      <c r="I9" s="4">
        <f t="shared" si="1"/>
        <v>7</v>
      </c>
    </row>
    <row r="10" spans="1:9">
      <c r="A10" s="3" t="s">
        <v>297</v>
      </c>
      <c r="B10" s="4">
        <f>COUNTIFS('功能清单（新架构）'!$B:$B,$A10,'功能清单（新架构）'!$G:$G,B$1)</f>
        <v>0</v>
      </c>
      <c r="C10" s="4">
        <f>COUNTIFS('功能清单（新架构）'!$B:$B,$A10,'功能清单（新架构）'!$G:$G,C$1)</f>
        <v>8</v>
      </c>
      <c r="D10" s="4">
        <f>COUNTIFS('功能清单（新架构）'!$B:$B,$A10,'功能清单（新架构）'!$G:$G,D$1)</f>
        <v>2</v>
      </c>
      <c r="E10" s="4">
        <f>COUNTIFS('功能清单（新架构）'!$B:$B,$A10,'功能清单（新架构）'!$G:$G,E$1)</f>
        <v>0</v>
      </c>
      <c r="F10" s="4">
        <f>COUNTIFS('功能清单（新架构）'!$B:$B,$A10,'功能清单（新架构）'!$G:$G,F$1)</f>
        <v>1</v>
      </c>
      <c r="G10" s="4">
        <f>COUNTIFS('功能清单（新架构）'!$B:$B,$A10,'功能清单（新架构）'!$G:$G,G$1)</f>
        <v>2</v>
      </c>
      <c r="H10" s="4">
        <f t="shared" si="0"/>
        <v>13</v>
      </c>
      <c r="I10" s="4">
        <f t="shared" si="1"/>
        <v>11</v>
      </c>
    </row>
    <row r="11" spans="1:9">
      <c r="A11" s="3" t="s">
        <v>337</v>
      </c>
      <c r="B11" s="4">
        <f>COUNTIFS('功能清单（新架构）'!$B:$B,$A11,'功能清单（新架构）'!$G:$G,B$1)</f>
        <v>3</v>
      </c>
      <c r="C11" s="4">
        <f>COUNTIFS('功能清单（新架构）'!$B:$B,$A11,'功能清单（新架构）'!$G:$G,C$1)</f>
        <v>2</v>
      </c>
      <c r="D11" s="4">
        <f>COUNTIFS('功能清单（新架构）'!$B:$B,$A11,'功能清单（新架构）'!$G:$G,D$1)</f>
        <v>0</v>
      </c>
      <c r="E11" s="4">
        <f>COUNTIFS('功能清单（新架构）'!$B:$B,$A11,'功能清单（新架构）'!$G:$G,E$1)</f>
        <v>0</v>
      </c>
      <c r="F11" s="4">
        <f>COUNTIFS('功能清单（新架构）'!$B:$B,$A11,'功能清单（新架构）'!$G:$G,F$1)</f>
        <v>0</v>
      </c>
      <c r="G11" s="4">
        <f>COUNTIFS('功能清单（新架构）'!$B:$B,$A11,'功能清单（新架构）'!$G:$G,G$1)</f>
        <v>2</v>
      </c>
      <c r="H11" s="4">
        <f t="shared" si="0"/>
        <v>7</v>
      </c>
      <c r="I11" s="4">
        <f t="shared" si="1"/>
        <v>5</v>
      </c>
    </row>
    <row r="12" spans="1:9">
      <c r="A12" s="3" t="s">
        <v>355</v>
      </c>
      <c r="B12" s="4">
        <f>COUNTIFS('功能清单（新架构）'!$B:$B,$A12,'功能清单（新架构）'!$G:$G,B$1)</f>
        <v>0</v>
      </c>
      <c r="C12" s="4">
        <f>COUNTIFS('功能清单（新架构）'!$B:$B,$A12,'功能清单（新架构）'!$G:$G,C$1)</f>
        <v>3</v>
      </c>
      <c r="D12" s="4">
        <f>COUNTIFS('功能清单（新架构）'!$B:$B,$A12,'功能清单（新架构）'!$G:$G,D$1)</f>
        <v>2</v>
      </c>
      <c r="E12" s="4">
        <f>COUNTIFS('功能清单（新架构）'!$B:$B,$A12,'功能清单（新架构）'!$G:$G,E$1)</f>
        <v>0</v>
      </c>
      <c r="F12" s="4">
        <f>COUNTIFS('功能清单（新架构）'!$B:$B,$A12,'功能清单（新架构）'!$G:$G,F$1)</f>
        <v>3</v>
      </c>
      <c r="G12" s="4">
        <f>COUNTIFS('功能清单（新架构）'!$B:$B,$A12,'功能清单（新架构）'!$G:$G,G$1)</f>
        <v>1</v>
      </c>
      <c r="H12" s="4">
        <f t="shared" si="0"/>
        <v>9</v>
      </c>
      <c r="I12" s="4">
        <f t="shared" si="1"/>
        <v>8</v>
      </c>
    </row>
    <row r="13" spans="1:9">
      <c r="A13" s="3" t="s">
        <v>384</v>
      </c>
      <c r="B13" s="4">
        <f>COUNTIFS('功能清单（新架构）'!$B:$B,$A13,'功能清单（新架构）'!$G:$G,B$1)</f>
        <v>0</v>
      </c>
      <c r="C13" s="4">
        <f>COUNTIFS('功能清单（新架构）'!$B:$B,$A13,'功能清单（新架构）'!$G:$G,C$1)</f>
        <v>0</v>
      </c>
      <c r="D13" s="4">
        <f>COUNTIFS('功能清单（新架构）'!$B:$B,$A13,'功能清单（新架构）'!$G:$G,D$1)</f>
        <v>8</v>
      </c>
      <c r="E13" s="4">
        <f>COUNTIFS('功能清单（新架构）'!$B:$B,$A13,'功能清单（新架构）'!$G:$G,E$1)</f>
        <v>0</v>
      </c>
      <c r="F13" s="4">
        <f>COUNTIFS('功能清单（新架构）'!$B:$B,$A13,'功能清单（新架构）'!$G:$G,F$1)</f>
        <v>1</v>
      </c>
      <c r="G13" s="4">
        <f>COUNTIFS('功能清单（新架构）'!$B:$B,$A13,'功能清单（新架构）'!$G:$G,G$1)</f>
        <v>1</v>
      </c>
      <c r="H13" s="4">
        <f t="shared" si="0"/>
        <v>10</v>
      </c>
      <c r="I13" s="4">
        <f t="shared" si="1"/>
        <v>9</v>
      </c>
    </row>
    <row r="14" spans="1:9">
      <c r="A14" s="3" t="s">
        <v>416</v>
      </c>
      <c r="B14" s="4">
        <f>COUNTIFS('功能清单（新架构）'!$B:$B,$A14,'功能清单（新架构）'!$G:$G,B$1)</f>
        <v>0</v>
      </c>
      <c r="C14" s="4">
        <f>COUNTIFS('功能清单（新架构）'!$B:$B,$A14,'功能清单（新架构）'!$G:$G,C$1)</f>
        <v>0</v>
      </c>
      <c r="D14" s="4">
        <f>COUNTIFS('功能清单（新架构）'!$B:$B,$A14,'功能清单（新架构）'!$G:$G,D$1)</f>
        <v>8</v>
      </c>
      <c r="E14" s="4">
        <f>COUNTIFS('功能清单（新架构）'!$B:$B,$A14,'功能清单（新架构）'!$G:$G,E$1)</f>
        <v>0</v>
      </c>
      <c r="F14" s="4">
        <f>COUNTIFS('功能清单（新架构）'!$B:$B,$A14,'功能清单（新架构）'!$G:$G,F$1)</f>
        <v>0</v>
      </c>
      <c r="G14" s="4">
        <f>COUNTIFS('功能清单（新架构）'!$B:$B,$A14,'功能清单（新架构）'!$G:$G,G$1)</f>
        <v>0</v>
      </c>
      <c r="H14" s="4">
        <f t="shared" si="0"/>
        <v>8</v>
      </c>
      <c r="I14" s="4">
        <f t="shared" si="1"/>
        <v>8</v>
      </c>
    </row>
    <row r="15" spans="1:9">
      <c r="A15" s="3" t="s">
        <v>435</v>
      </c>
      <c r="B15" s="4">
        <f>COUNTIFS('功能清单（新架构）'!$B:$B,$A15,'功能清单（新架构）'!$G:$G,B$1)</f>
        <v>0</v>
      </c>
      <c r="C15" s="4">
        <f>COUNTIFS('功能清单（新架构）'!$B:$B,$A15,'功能清单（新架构）'!$G:$G,C$1)</f>
        <v>0</v>
      </c>
      <c r="D15" s="4">
        <f>COUNTIFS('功能清单（新架构）'!$B:$B,$A15,'功能清单（新架构）'!$G:$G,D$1)</f>
        <v>3</v>
      </c>
      <c r="E15" s="4">
        <f>COUNTIFS('功能清单（新架构）'!$B:$B,$A15,'功能清单（新架构）'!$G:$G,E$1)</f>
        <v>2</v>
      </c>
      <c r="F15" s="4">
        <f>COUNTIFS('功能清单（新架构）'!$B:$B,$A15,'功能清单（新架构）'!$G:$G,F$1)</f>
        <v>0</v>
      </c>
      <c r="G15" s="4">
        <f>COUNTIFS('功能清单（新架构）'!$B:$B,$A15,'功能清单（新架构）'!$G:$G,G$1)</f>
        <v>0</v>
      </c>
      <c r="H15" s="4">
        <f t="shared" si="0"/>
        <v>5</v>
      </c>
      <c r="I15" s="4">
        <f t="shared" si="1"/>
        <v>5</v>
      </c>
    </row>
    <row r="16" spans="1:9">
      <c r="A16" s="5" t="s">
        <v>665</v>
      </c>
      <c r="B16" s="6">
        <f t="shared" ref="B16:I16" si="2">SUM(B2:B15)</f>
        <v>39</v>
      </c>
      <c r="C16" s="6">
        <f t="shared" si="2"/>
        <v>37</v>
      </c>
      <c r="D16" s="6">
        <f t="shared" si="2"/>
        <v>29</v>
      </c>
      <c r="E16" s="6">
        <f t="shared" si="2"/>
        <v>2</v>
      </c>
      <c r="F16" s="6">
        <f t="shared" si="2"/>
        <v>15</v>
      </c>
      <c r="G16" s="6">
        <f t="shared" si="2"/>
        <v>20</v>
      </c>
      <c r="H16" s="6">
        <f t="shared" si="2"/>
        <v>142</v>
      </c>
      <c r="I16" s="6">
        <f t="shared" si="2"/>
        <v>122</v>
      </c>
    </row>
    <row r="18" spans="1:9">
      <c r="A18" s="7" t="s">
        <v>666</v>
      </c>
    </row>
    <row r="19" spans="1:9">
      <c r="B19" s="8" t="s">
        <v>56</v>
      </c>
      <c r="C19" s="8" t="s">
        <v>156</v>
      </c>
      <c r="D19" s="8" t="s">
        <v>37</v>
      </c>
      <c r="E19" s="8" t="s">
        <v>102</v>
      </c>
      <c r="F19" s="8" t="s">
        <v>141</v>
      </c>
      <c r="G19" s="8" t="s">
        <v>93</v>
      </c>
      <c r="H19" s="8" t="s">
        <v>665</v>
      </c>
    </row>
    <row r="20" spans="1:9">
      <c r="B20" s="4">
        <f>COUNTIF(冠麦原始功能去向!$F:$F,B19)</f>
        <v>35</v>
      </c>
      <c r="C20" s="4">
        <f>COUNTIF(冠麦原始功能去向!$F:$F,C19)</f>
        <v>10</v>
      </c>
      <c r="D20" s="4">
        <f>COUNTIF(冠麦原始功能去向!$F:$F,D19)</f>
        <v>5</v>
      </c>
      <c r="E20" s="4">
        <f>COUNTIF(冠麦原始功能去向!$F:$F,E19)</f>
        <v>20</v>
      </c>
      <c r="F20" s="4">
        <f>COUNTIF(冠麦原始功能去向!$F:$F,F19)</f>
        <v>30</v>
      </c>
      <c r="G20" s="4">
        <f>COUNTIF(冠麦原始功能去向!$F:$F,G19)</f>
        <v>21</v>
      </c>
      <c r="H20" s="8">
        <f>SUM(B20:G20)</f>
        <v>121</v>
      </c>
    </row>
    <row r="22" spans="1:9">
      <c r="A22" s="9" t="s">
        <v>667</v>
      </c>
      <c r="B22" s="9"/>
      <c r="C22" s="9"/>
      <c r="D22" s="9"/>
      <c r="E22" s="9"/>
      <c r="F22" s="9"/>
      <c r="G22" s="9"/>
      <c r="H22" s="9"/>
      <c r="I22" s="9"/>
    </row>
    <row r="23" spans="1:9">
      <c r="A23" s="9" t="s">
        <v>668</v>
      </c>
      <c r="B23" s="9"/>
      <c r="C23" s="9"/>
      <c r="D23" s="9"/>
      <c r="E23" s="9"/>
      <c r="F23" s="9"/>
      <c r="G23" s="9"/>
      <c r="H23" s="9"/>
      <c r="I23" s="9"/>
    </row>
    <row r="24" spans="1:9">
      <c r="A24" s="9" t="s">
        <v>669</v>
      </c>
      <c r="B24" s="9"/>
      <c r="C24" s="9"/>
      <c r="D24" s="9"/>
      <c r="E24" s="9"/>
      <c r="F24" s="9"/>
      <c r="G24" s="9"/>
      <c r="H24" s="9"/>
      <c r="I24" s="9"/>
    </row>
    <row r="25" spans="1:9">
      <c r="A25" s="9" t="s">
        <v>670</v>
      </c>
      <c r="B25" s="9"/>
      <c r="C25" s="9"/>
      <c r="D25" s="9"/>
      <c r="E25" s="9"/>
      <c r="F25" s="9"/>
      <c r="G25" s="9"/>
      <c r="H25" s="9"/>
      <c r="I25" s="9"/>
    </row>
  </sheetData>
  <mergeCells count="4">
    <mergeCell ref="A22:I22"/>
    <mergeCell ref="A23:I23"/>
    <mergeCell ref="A24:I24"/>
    <mergeCell ref="A25:I25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功能清单（新架构）</vt:lpstr>
      <vt:lpstr>冠麦原始功能去向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祝存亮</cp:lastModifiedBy>
  <cp:revision>0</cp:revision>
  <dcterms:created xsi:type="dcterms:W3CDTF">2026-07-10T11:11:00Z</dcterms:created>
  <dcterms:modified xsi:type="dcterms:W3CDTF">2026-07-10T11:19:03Z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CalculationRule">
    <vt:i4>0</vt:i4>
  </property>
  <property fmtid="{D5CDD505-2E9C-101B-9397-08002B2CF9AE}" pid="4" name="ICV">
    <vt:lpwstr>15D221D32321B65EA764506A7842B56C_43</vt:lpwstr>
  </property>
</Properties>
</file>